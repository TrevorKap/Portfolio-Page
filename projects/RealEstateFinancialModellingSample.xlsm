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00000000-0000-0000-0000-000000000000}"/>
  <workbookPr codeName="ThisWorkbook"/>
  <mc:AlternateContent xmlns:mc="http://schemas.openxmlformats.org/markup-compatibility/2006">
    <mc:Choice Requires="x15">
      <x15ac:absPath xmlns:x15ac="http://schemas.microsoft.com/office/spreadsheetml/2010/11/ac" url="/Users/jessestricof/Documents/Penn Law/Fall 2023/Property Development/Final Project/"/>
    </mc:Choice>
  </mc:AlternateContent>
  <xr:revisionPtr revIDLastSave="0" documentId="8_{1AA9DFB8-B8F0-468C-BCE9-FC5C0E36D2C0}" xr6:coauthVersionLast="47" xr6:coauthVersionMax="47" xr10:uidLastSave="{00000000-0000-0000-0000-000000000000}"/>
  <bookViews>
    <workbookView xWindow="0" yWindow="500" windowWidth="28800" windowHeight="16180" firstSheet="1" activeTab="2" xr2:uid="{5C82ACDD-8B02-0944-8528-0E27D884BF22}"/>
  </bookViews>
  <sheets>
    <sheet name="Level 4 - Instructions" sheetId="12" r:id="rId1"/>
    <sheet name="Base" sheetId="16" r:id="rId2"/>
    <sheet name="Option 1" sheetId="17" r:id="rId3"/>
    <sheet name="Option 2" sheetId="18" state="hidden" r:id="rId4"/>
    <sheet name="ESRI_MAPINFO_SHEET" sheetId="15" state="veryHidden" r:id="rId5"/>
  </sheets>
  <externalReferences>
    <externalReference r:id="rId6"/>
  </externalReferences>
  <definedNames>
    <definedName name="Payment_Frequency">[1]Sheet1!$D$6:$D$10</definedName>
    <definedName name="_xlnm.Print_Area" localSheetId="1">Base!$A$1:$N$252</definedName>
    <definedName name="_xlnm.Print_Area" localSheetId="0">'Level 4 - Instructions'!$B$2:$B$35</definedName>
    <definedName name="_xlnm.Print_Area" localSheetId="2">'Option 1'!$A$1:$N$248</definedName>
    <definedName name="_xlnm.Print_Titles" localSheetId="1">Base!$2:$6</definedName>
    <definedName name="_xlnm.Print_Titles" localSheetId="2">'Option 1'!$2:$6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7" i="16" l="1"/>
  <c r="C132" i="16" s="1"/>
  <c r="C137" i="16" s="1"/>
  <c r="C131" i="16"/>
  <c r="E65" i="16"/>
  <c r="XFD230" i="17"/>
  <c r="XFD194" i="17"/>
  <c r="XFD187" i="17"/>
  <c r="C175" i="17"/>
  <c r="C172" i="17"/>
  <c r="C169" i="17"/>
  <c r="C166" i="17"/>
  <c r="C164" i="17"/>
  <c r="C165" i="17" s="1"/>
  <c r="C155" i="17"/>
  <c r="XFD140" i="17"/>
  <c r="XFD131" i="17"/>
  <c r="C129" i="17"/>
  <c r="C126" i="17"/>
  <c r="C122" i="17"/>
  <c r="C128" i="17" s="1"/>
  <c r="E99" i="17"/>
  <c r="B98" i="17"/>
  <c r="E94" i="17"/>
  <c r="E91" i="17"/>
  <c r="E88" i="17"/>
  <c r="E97" i="17" s="1"/>
  <c r="B85" i="17"/>
  <c r="E79" i="17"/>
  <c r="G73" i="17"/>
  <c r="F73" i="17"/>
  <c r="B67" i="17"/>
  <c r="E65" i="17"/>
  <c r="E66" i="17" s="1"/>
  <c r="B62" i="17"/>
  <c r="E61" i="17"/>
  <c r="E60" i="17"/>
  <c r="E59" i="17"/>
  <c r="E58" i="17"/>
  <c r="F55" i="17"/>
  <c r="E55" i="17"/>
  <c r="B53" i="17"/>
  <c r="E48" i="17"/>
  <c r="E44" i="17" a="1"/>
  <c r="E44" i="17" s="1"/>
  <c r="E40" i="17"/>
  <c r="E40" i="17" a="1"/>
  <c r="E36" i="17" a="1"/>
  <c r="E36" i="17" s="1"/>
  <c r="E35" i="17"/>
  <c r="E37" i="17" s="1"/>
  <c r="E32" i="17" a="1"/>
  <c r="E32" i="17" s="1"/>
  <c r="E31" i="17"/>
  <c r="B28" i="17"/>
  <c r="E27" i="17"/>
  <c r="E26" i="17"/>
  <c r="E25" i="17"/>
  <c r="E23" i="17"/>
  <c r="E22" i="17"/>
  <c r="E19" i="17"/>
  <c r="E20" i="17" s="1"/>
  <c r="E16" i="17"/>
  <c r="E17" i="17" s="1"/>
  <c r="E14" i="17"/>
  <c r="C14" i="17" s="1"/>
  <c r="E12" i="17"/>
  <c r="C12" i="17"/>
  <c r="F9" i="17"/>
  <c r="F31" i="17" s="1"/>
  <c r="B4" i="17"/>
  <c r="E61" i="16"/>
  <c r="E60" i="16"/>
  <c r="E59" i="16"/>
  <c r="E58" i="16"/>
  <c r="E44" i="16" a="1"/>
  <c r="E44" i="16" s="1"/>
  <c r="E19" i="16"/>
  <c r="E20" i="16" s="1"/>
  <c r="E16" i="16"/>
  <c r="E17" i="16" s="1"/>
  <c r="E26" i="16"/>
  <c r="E25" i="16"/>
  <c r="E22" i="16"/>
  <c r="E23" i="16" s="1"/>
  <c r="C169" i="16"/>
  <c r="C170" i="16" s="1"/>
  <c r="XFD234" i="16"/>
  <c r="XFD191" i="16"/>
  <c r="XFD136" i="16"/>
  <c r="XFD198" i="16"/>
  <c r="XFD145" i="16"/>
  <c r="C139" i="16" l="1"/>
  <c r="C136" i="17"/>
  <c r="C205" i="17"/>
  <c r="F50" i="17"/>
  <c r="F48" i="17"/>
  <c r="F88" i="17"/>
  <c r="F94" i="17"/>
  <c r="F91" i="17"/>
  <c r="C138" i="17"/>
  <c r="C141" i="17" s="1"/>
  <c r="C206" i="17"/>
  <c r="G9" i="17"/>
  <c r="G88" i="17"/>
  <c r="G94" i="17"/>
  <c r="G91" i="17"/>
  <c r="H73" i="17"/>
  <c r="F99" i="17"/>
  <c r="F47" i="17"/>
  <c r="F40" i="17" a="1"/>
  <c r="F40" i="17" s="1"/>
  <c r="F59" i="17"/>
  <c r="F52" i="17"/>
  <c r="F36" i="17" a="1"/>
  <c r="F36" i="17" s="1"/>
  <c r="F49" i="17"/>
  <c r="F43" i="17"/>
  <c r="F45" i="17" s="1"/>
  <c r="F32" i="17" a="1"/>
  <c r="F32" i="17" s="1"/>
  <c r="F33" i="17" s="1"/>
  <c r="F53" i="17" s="1"/>
  <c r="F54" i="17" s="1"/>
  <c r="F61" i="17"/>
  <c r="F39" i="17"/>
  <c r="F41" i="17" s="1"/>
  <c r="F65" i="17"/>
  <c r="F58" i="17"/>
  <c r="F51" i="17"/>
  <c r="F35" i="17"/>
  <c r="F37" i="17" s="1"/>
  <c r="F22" i="17"/>
  <c r="F23" i="17" s="1"/>
  <c r="F44" i="17" a="1"/>
  <c r="F44" i="17" s="1"/>
  <c r="E28" i="17"/>
  <c r="E62" i="17"/>
  <c r="E50" i="17"/>
  <c r="E47" i="17"/>
  <c r="E52" i="17"/>
  <c r="E49" i="17"/>
  <c r="E43" i="17"/>
  <c r="E45" i="17" s="1"/>
  <c r="E39" i="17"/>
  <c r="E41" i="17" s="1"/>
  <c r="E13" i="17"/>
  <c r="C13" i="17" s="1"/>
  <c r="XFD13" i="17" s="1"/>
  <c r="F19" i="17"/>
  <c r="F20" i="17" s="1"/>
  <c r="E33" i="17"/>
  <c r="E53" i="17" s="1"/>
  <c r="E51" i="17"/>
  <c r="F60" i="17"/>
  <c r="F62" i="17" s="1"/>
  <c r="E67" i="17"/>
  <c r="F79" i="17"/>
  <c r="E98" i="17"/>
  <c r="E78" i="17"/>
  <c r="XFD122" i="17"/>
  <c r="C127" i="17"/>
  <c r="C132" i="17" s="1"/>
  <c r="C134" i="17" s="1"/>
  <c r="C204" i="17" s="1"/>
  <c r="C207" i="17" s="1"/>
  <c r="E90" i="17"/>
  <c r="E27" i="16"/>
  <c r="E78" i="16" s="1"/>
  <c r="E54" i="17" l="1"/>
  <c r="F66" i="17"/>
  <c r="F67" i="17"/>
  <c r="E69" i="17"/>
  <c r="E92" i="17"/>
  <c r="C214" i="17"/>
  <c r="C210" i="17"/>
  <c r="G98" i="17"/>
  <c r="G90" i="17"/>
  <c r="G97" i="17"/>
  <c r="F98" i="17"/>
  <c r="F90" i="17"/>
  <c r="F97" i="17"/>
  <c r="E84" i="17"/>
  <c r="E80" i="17"/>
  <c r="G59" i="17"/>
  <c r="G52" i="17"/>
  <c r="G32" i="17" a="1"/>
  <c r="G32" i="17" s="1"/>
  <c r="G49" i="17"/>
  <c r="G43" i="17"/>
  <c r="G61" i="17"/>
  <c r="G39" i="17"/>
  <c r="G19" i="17"/>
  <c r="G20" i="17" s="1"/>
  <c r="G65" i="17"/>
  <c r="G58" i="17"/>
  <c r="G51" i="17"/>
  <c r="G35" i="17"/>
  <c r="G48" i="17"/>
  <c r="G31" i="17"/>
  <c r="G79" i="17"/>
  <c r="G60" i="17"/>
  <c r="H9" i="17"/>
  <c r="G55" i="17"/>
  <c r="G47" i="17"/>
  <c r="G22" i="17"/>
  <c r="G23" i="17" s="1"/>
  <c r="G44" i="17" a="1"/>
  <c r="G44" i="17" s="1"/>
  <c r="G16" i="17"/>
  <c r="G36" i="17" a="1"/>
  <c r="G36" i="17" s="1"/>
  <c r="G99" i="17"/>
  <c r="G50" i="17"/>
  <c r="G40" i="17" a="1"/>
  <c r="G40" i="17" s="1"/>
  <c r="H94" i="17"/>
  <c r="H91" i="17"/>
  <c r="I73" i="17"/>
  <c r="H88" i="17"/>
  <c r="F16" i="17"/>
  <c r="C216" i="17" l="1"/>
  <c r="F26" i="17"/>
  <c r="G62" i="17"/>
  <c r="G66" i="17"/>
  <c r="G67" i="17" s="1"/>
  <c r="E93" i="17"/>
  <c r="C212" i="17"/>
  <c r="F25" i="17"/>
  <c r="G28" i="17"/>
  <c r="G17" i="17"/>
  <c r="E82" i="17"/>
  <c r="F77" i="17"/>
  <c r="G92" i="17"/>
  <c r="G93" i="17" s="1"/>
  <c r="G95" i="17" s="1"/>
  <c r="F17" i="17"/>
  <c r="H49" i="17"/>
  <c r="H43" i="17"/>
  <c r="H25" i="17"/>
  <c r="H61" i="17"/>
  <c r="H39" i="17"/>
  <c r="H41" i="17" s="1"/>
  <c r="H19" i="17"/>
  <c r="H20" i="17" s="1"/>
  <c r="H65" i="17"/>
  <c r="H58" i="17"/>
  <c r="H51" i="17"/>
  <c r="H35" i="17"/>
  <c r="H48" i="17"/>
  <c r="H44" i="17" a="1"/>
  <c r="H44" i="17" s="1"/>
  <c r="H31" i="17"/>
  <c r="H60" i="17"/>
  <c r="H62" i="17" s="1"/>
  <c r="H40" i="17" a="1"/>
  <c r="H40" i="17" s="1"/>
  <c r="H47" i="17"/>
  <c r="H26" i="17"/>
  <c r="H16" i="17"/>
  <c r="I9" i="17"/>
  <c r="H22" i="17"/>
  <c r="H23" i="17" s="1"/>
  <c r="H32" i="17" a="1"/>
  <c r="H32" i="17" s="1"/>
  <c r="H79" i="17"/>
  <c r="H99" i="17"/>
  <c r="H50" i="17"/>
  <c r="H59" i="17"/>
  <c r="H55" i="17"/>
  <c r="H52" i="17"/>
  <c r="H36" i="17" a="1"/>
  <c r="H36" i="17" s="1"/>
  <c r="H98" i="17"/>
  <c r="H90" i="17"/>
  <c r="H97" i="17"/>
  <c r="I94" i="17"/>
  <c r="J73" i="17"/>
  <c r="I82" i="17"/>
  <c r="F92" i="17"/>
  <c r="F93" i="17" s="1"/>
  <c r="F95" i="17" s="1"/>
  <c r="G33" i="17"/>
  <c r="G41" i="17"/>
  <c r="G26" i="17"/>
  <c r="G53" i="17"/>
  <c r="G25" i="17"/>
  <c r="G27" i="17" s="1"/>
  <c r="E70" i="17"/>
  <c r="G37" i="17"/>
  <c r="G45" i="17"/>
  <c r="H66" i="17" l="1"/>
  <c r="H67" i="17" s="1"/>
  <c r="H92" i="17"/>
  <c r="H93" i="17" s="1"/>
  <c r="H95" i="17" s="1"/>
  <c r="H33" i="17"/>
  <c r="F27" i="17"/>
  <c r="I61" i="17"/>
  <c r="I39" i="17"/>
  <c r="I65" i="17"/>
  <c r="I58" i="17"/>
  <c r="I51" i="17"/>
  <c r="I44" i="17" a="1"/>
  <c r="I44" i="17" s="1"/>
  <c r="I35" i="17"/>
  <c r="I37" i="17" s="1"/>
  <c r="I48" i="17"/>
  <c r="I40" i="17" a="1"/>
  <c r="I40" i="17" s="1"/>
  <c r="I31" i="17"/>
  <c r="I60" i="17"/>
  <c r="I36" i="17" a="1"/>
  <c r="I36" i="17" s="1"/>
  <c r="I50" i="17"/>
  <c r="I32" i="17" a="1"/>
  <c r="I32" i="17" s="1"/>
  <c r="I47" i="17"/>
  <c r="I49" i="17"/>
  <c r="I26" i="17"/>
  <c r="I25" i="17"/>
  <c r="I27" i="17" s="1"/>
  <c r="I19" i="17"/>
  <c r="I20" i="17" s="1"/>
  <c r="I16" i="17"/>
  <c r="I22" i="17"/>
  <c r="I23" i="17" s="1"/>
  <c r="I43" i="17"/>
  <c r="I45" i="17" s="1"/>
  <c r="J9" i="17"/>
  <c r="I59" i="17"/>
  <c r="I52" i="17"/>
  <c r="H17" i="17"/>
  <c r="H28" i="17" s="1"/>
  <c r="H27" i="17"/>
  <c r="H78" i="17" s="1"/>
  <c r="G54" i="17"/>
  <c r="H45" i="17"/>
  <c r="E95" i="17"/>
  <c r="K73" i="17"/>
  <c r="J88" i="17"/>
  <c r="J82" i="17"/>
  <c r="J94" i="17"/>
  <c r="H37" i="17"/>
  <c r="H53" i="17" s="1"/>
  <c r="E85" i="17"/>
  <c r="E101" i="17" s="1"/>
  <c r="H84" i="17" l="1"/>
  <c r="H54" i="17"/>
  <c r="H69" i="17"/>
  <c r="H70" i="17" s="1"/>
  <c r="F28" i="17"/>
  <c r="I17" i="17"/>
  <c r="I28" i="17"/>
  <c r="E102" i="17"/>
  <c r="I78" i="17"/>
  <c r="I33" i="17"/>
  <c r="I53" i="17" s="1"/>
  <c r="I54" i="17" s="1"/>
  <c r="I55" i="17" s="1"/>
  <c r="I66" i="17"/>
  <c r="I67" i="17" s="1"/>
  <c r="J97" i="17"/>
  <c r="I62" i="17"/>
  <c r="L73" i="17"/>
  <c r="K88" i="17"/>
  <c r="K94" i="17"/>
  <c r="K82" i="17"/>
  <c r="J65" i="17"/>
  <c r="J58" i="17"/>
  <c r="J51" i="17"/>
  <c r="J40" i="17" a="1"/>
  <c r="J40" i="17" s="1"/>
  <c r="J35" i="17"/>
  <c r="J37" i="17" s="1"/>
  <c r="J48" i="17"/>
  <c r="J36" i="17" a="1"/>
  <c r="J36" i="17" s="1"/>
  <c r="J31" i="17"/>
  <c r="J60" i="17"/>
  <c r="J32" i="17" a="1"/>
  <c r="J32" i="17" s="1"/>
  <c r="J79" i="17"/>
  <c r="J55" i="17"/>
  <c r="J50" i="17"/>
  <c r="J26" i="17"/>
  <c r="J22" i="17"/>
  <c r="J23" i="17" s="1"/>
  <c r="J99" i="17"/>
  <c r="J47" i="17"/>
  <c r="J49" i="17"/>
  <c r="J25" i="17"/>
  <c r="J19" i="17"/>
  <c r="J20" i="17" s="1"/>
  <c r="J43" i="17"/>
  <c r="J16" i="17"/>
  <c r="K9" i="17"/>
  <c r="J61" i="17"/>
  <c r="J59" i="17"/>
  <c r="J52" i="17"/>
  <c r="J44" i="17" a="1"/>
  <c r="J44" i="17" s="1"/>
  <c r="J39" i="17"/>
  <c r="I41" i="17"/>
  <c r="G69" i="17"/>
  <c r="G70" i="17" s="1"/>
  <c r="I69" i="17" l="1"/>
  <c r="I70" i="17" s="1"/>
  <c r="J62" i="17"/>
  <c r="J27" i="17"/>
  <c r="J33" i="17"/>
  <c r="J66" i="17"/>
  <c r="J67" i="17" s="1"/>
  <c r="J69" i="17" s="1"/>
  <c r="J70" i="17" s="1"/>
  <c r="F69" i="17"/>
  <c r="K97" i="17"/>
  <c r="L88" i="17"/>
  <c r="L82" i="17"/>
  <c r="M73" i="17"/>
  <c r="K48" i="17"/>
  <c r="K32" i="17" a="1"/>
  <c r="K32" i="17" s="1"/>
  <c r="K31" i="17"/>
  <c r="K60" i="17"/>
  <c r="K62" i="17" s="1"/>
  <c r="K79" i="17"/>
  <c r="K55" i="17"/>
  <c r="K50" i="17"/>
  <c r="K26" i="17"/>
  <c r="K22" i="17"/>
  <c r="K23" i="17" s="1"/>
  <c r="K99" i="17"/>
  <c r="K47" i="17"/>
  <c r="K59" i="17"/>
  <c r="K52" i="17"/>
  <c r="K51" i="17"/>
  <c r="K43" i="17"/>
  <c r="K45" i="17" s="1"/>
  <c r="K16" i="17"/>
  <c r="L9" i="17"/>
  <c r="K25" i="17"/>
  <c r="K27" i="17" s="1"/>
  <c r="K65" i="17"/>
  <c r="K58" i="17"/>
  <c r="K44" i="17" a="1"/>
  <c r="K44" i="17" s="1"/>
  <c r="K39" i="17"/>
  <c r="K41" i="17" s="1"/>
  <c r="K49" i="17"/>
  <c r="K19" i="17"/>
  <c r="K20" i="17" s="1"/>
  <c r="K61" i="17"/>
  <c r="K40" i="17" a="1"/>
  <c r="K40" i="17" s="1"/>
  <c r="K35" i="17"/>
  <c r="K36" i="17" a="1"/>
  <c r="K36" i="17" s="1"/>
  <c r="I84" i="17"/>
  <c r="J41" i="17"/>
  <c r="J17" i="17"/>
  <c r="J28" i="17" s="1"/>
  <c r="J45" i="17"/>
  <c r="J53" i="17"/>
  <c r="J54" i="17" s="1"/>
  <c r="F70" i="17" l="1"/>
  <c r="J78" i="17"/>
  <c r="M88" i="17"/>
  <c r="M82" i="17"/>
  <c r="M94" i="17"/>
  <c r="M91" i="17"/>
  <c r="N73" i="17"/>
  <c r="K37" i="17"/>
  <c r="K66" i="17"/>
  <c r="K67" i="17" s="1"/>
  <c r="K33" i="17"/>
  <c r="K53" i="17" s="1"/>
  <c r="L60" i="17"/>
  <c r="L79" i="17"/>
  <c r="L55" i="17"/>
  <c r="L50" i="17"/>
  <c r="L26" i="17"/>
  <c r="L22" i="17"/>
  <c r="L23" i="17" s="1"/>
  <c r="L99" i="17"/>
  <c r="L47" i="17"/>
  <c r="L59" i="17"/>
  <c r="L52" i="17"/>
  <c r="L44" i="17" a="1"/>
  <c r="L44" i="17" s="1"/>
  <c r="L49" i="17"/>
  <c r="L43" i="17"/>
  <c r="L45" i="17" s="1"/>
  <c r="L40" i="17" a="1"/>
  <c r="L40" i="17" s="1"/>
  <c r="L58" i="17"/>
  <c r="L19" i="17"/>
  <c r="L20" i="17" s="1"/>
  <c r="L61" i="17"/>
  <c r="L39" i="17"/>
  <c r="L41" i="17" s="1"/>
  <c r="L35" i="17"/>
  <c r="L37" i="17" s="1"/>
  <c r="L25" i="17"/>
  <c r="L27" i="17" s="1"/>
  <c r="L36" i="17" a="1"/>
  <c r="L36" i="17" s="1"/>
  <c r="L32" i="17" a="1"/>
  <c r="L32" i="17" s="1"/>
  <c r="L31" i="17"/>
  <c r="L16" i="17"/>
  <c r="L48" i="17"/>
  <c r="L51" i="17"/>
  <c r="M9" i="17"/>
  <c r="L97" i="17"/>
  <c r="K17" i="17"/>
  <c r="K28" i="17" s="1"/>
  <c r="K78" i="17"/>
  <c r="K54" i="17" l="1"/>
  <c r="K69" i="17"/>
  <c r="M79" i="17"/>
  <c r="M55" i="17"/>
  <c r="M50" i="17"/>
  <c r="M26" i="17"/>
  <c r="M22" i="17"/>
  <c r="M23" i="17" s="1"/>
  <c r="M99" i="17"/>
  <c r="M47" i="17"/>
  <c r="M44" i="17" a="1"/>
  <c r="M44" i="17" s="1"/>
  <c r="M59" i="17"/>
  <c r="M52" i="17"/>
  <c r="M40" i="17" a="1"/>
  <c r="M40" i="17" s="1"/>
  <c r="M69" i="17"/>
  <c r="M70" i="17" s="1"/>
  <c r="M54" i="17"/>
  <c r="M49" i="17"/>
  <c r="M43" i="17"/>
  <c r="M36" i="17" a="1"/>
  <c r="M36" i="17" s="1"/>
  <c r="M25" i="17"/>
  <c r="M61" i="17"/>
  <c r="M39" i="17"/>
  <c r="M32" i="17" a="1"/>
  <c r="M32" i="17" s="1"/>
  <c r="M35" i="17"/>
  <c r="M31" i="17"/>
  <c r="N9" i="17"/>
  <c r="M60" i="17"/>
  <c r="M51" i="17"/>
  <c r="M48" i="17"/>
  <c r="M58" i="17"/>
  <c r="M19" i="17"/>
  <c r="M20" i="17" s="1"/>
  <c r="M16" i="17"/>
  <c r="M65" i="17"/>
  <c r="M97" i="17"/>
  <c r="M98" i="17"/>
  <c r="L17" i="17"/>
  <c r="L28" i="17" s="1"/>
  <c r="L33" i="17"/>
  <c r="L53" i="17" s="1"/>
  <c r="L54" i="17" s="1"/>
  <c r="N88" i="17"/>
  <c r="N82" i="17"/>
  <c r="N94" i="17"/>
  <c r="N91" i="17"/>
  <c r="J84" i="17"/>
  <c r="J85" i="17" s="1"/>
  <c r="L62" i="17"/>
  <c r="L78" i="17"/>
  <c r="K84" i="17"/>
  <c r="K85" i="17"/>
  <c r="M41" i="17" l="1"/>
  <c r="K70" i="17"/>
  <c r="M62" i="17"/>
  <c r="N98" i="17"/>
  <c r="N97" i="17"/>
  <c r="M27" i="17"/>
  <c r="M78" i="17" s="1"/>
  <c r="L84" i="17"/>
  <c r="L85" i="17"/>
  <c r="M66" i="17"/>
  <c r="M67" i="17" s="1"/>
  <c r="N99" i="17"/>
  <c r="N47" i="17"/>
  <c r="C47" i="17" s="1"/>
  <c r="N40" i="17" a="1"/>
  <c r="N40" i="17" s="1"/>
  <c r="N59" i="17"/>
  <c r="C59" i="17" s="1"/>
  <c r="N52" i="17"/>
  <c r="C52" i="17" s="1"/>
  <c r="N36" i="17" a="1"/>
  <c r="N36" i="17" s="1"/>
  <c r="N69" i="17"/>
  <c r="N70" i="17" s="1"/>
  <c r="N54" i="17"/>
  <c r="C54" i="17" s="1"/>
  <c r="N49" i="17"/>
  <c r="C49" i="17" s="1"/>
  <c r="N43" i="17"/>
  <c r="N32" i="17" a="1"/>
  <c r="N32" i="17" s="1"/>
  <c r="N25" i="17"/>
  <c r="N61" i="17"/>
  <c r="C61" i="17" s="1"/>
  <c r="N39" i="17"/>
  <c r="N41" i="17" s="1"/>
  <c r="C41" i="17" s="1"/>
  <c r="N19" i="17"/>
  <c r="N20" i="17" s="1"/>
  <c r="N65" i="17"/>
  <c r="N58" i="17"/>
  <c r="C58" i="17" s="1"/>
  <c r="N51" i="17"/>
  <c r="C51" i="17" s="1"/>
  <c r="N35" i="17"/>
  <c r="N44" i="17" a="1"/>
  <c r="N44" i="17" s="1"/>
  <c r="N26" i="17"/>
  <c r="N31" i="17"/>
  <c r="N33" i="17" s="1"/>
  <c r="C33" i="17" s="1"/>
  <c r="N48" i="17"/>
  <c r="C48" i="17" s="1"/>
  <c r="N22" i="17"/>
  <c r="N23" i="17" s="1"/>
  <c r="N16" i="17"/>
  <c r="N50" i="17"/>
  <c r="C50" i="17" s="1"/>
  <c r="N55" i="17"/>
  <c r="C55" i="17" s="1"/>
  <c r="N53" i="17"/>
  <c r="N79" i="17"/>
  <c r="N60" i="17"/>
  <c r="M45" i="17"/>
  <c r="M17" i="17"/>
  <c r="M28" i="17" s="1"/>
  <c r="M33" i="17"/>
  <c r="M37" i="17"/>
  <c r="M84" i="17" l="1"/>
  <c r="M85" i="17"/>
  <c r="M101" i="17" s="1"/>
  <c r="M102" i="17" s="1"/>
  <c r="N78" i="17"/>
  <c r="C26" i="17"/>
  <c r="C232" i="17" s="1"/>
  <c r="C233" i="17" s="1"/>
  <c r="C246" i="17"/>
  <c r="C245" i="17"/>
  <c r="C242" i="17"/>
  <c r="N62" i="17"/>
  <c r="C62" i="17" s="1"/>
  <c r="C60" i="17"/>
  <c r="C53" i="17"/>
  <c r="C31" i="17"/>
  <c r="N37" i="17"/>
  <c r="C37" i="17" s="1"/>
  <c r="M53" i="17"/>
  <c r="L65" i="17" s="1"/>
  <c r="N27" i="17"/>
  <c r="C27" i="17" s="1"/>
  <c r="N45" i="17"/>
  <c r="C45" i="17" s="1"/>
  <c r="N17" i="17"/>
  <c r="N28" i="17" s="1"/>
  <c r="C28" i="17" s="1"/>
  <c r="C107" i="17" s="1"/>
  <c r="N66" i="17"/>
  <c r="N67" i="17"/>
  <c r="C65" i="17"/>
  <c r="C25" i="17"/>
  <c r="N84" i="17" l="1"/>
  <c r="N85" i="17"/>
  <c r="N101" i="17" s="1"/>
  <c r="N102" i="17" s="1"/>
  <c r="G78" i="17"/>
  <c r="F78" i="17"/>
  <c r="L66" i="17"/>
  <c r="C66" i="17" s="1"/>
  <c r="L67" i="17"/>
  <c r="L69" i="17" s="1"/>
  <c r="C247" i="17"/>
  <c r="L70" i="17" l="1"/>
  <c r="C70" i="17" s="1"/>
  <c r="C106" i="17" s="1"/>
  <c r="C108" i="17"/>
  <c r="C69" i="17"/>
  <c r="F84" i="17"/>
  <c r="C78" i="17"/>
  <c r="F80" i="17"/>
  <c r="G84" i="17"/>
  <c r="I91" i="17"/>
  <c r="I88" i="17"/>
  <c r="J91" i="17"/>
  <c r="K91" i="17"/>
  <c r="L91" i="17"/>
  <c r="C67" i="17"/>
  <c r="G77" i="17" l="1"/>
  <c r="G80" i="17" s="1"/>
  <c r="F82" i="17"/>
  <c r="K98" i="17"/>
  <c r="K101" i="17" s="1"/>
  <c r="K102" i="17" s="1"/>
  <c r="J98" i="17"/>
  <c r="J101" i="17" s="1"/>
  <c r="J102" i="17" s="1"/>
  <c r="I97" i="17"/>
  <c r="I98" i="17" s="1"/>
  <c r="I90" i="17"/>
  <c r="C88" i="17"/>
  <c r="C91" i="17"/>
  <c r="I99" i="17"/>
  <c r="C99" i="17" s="1"/>
  <c r="F85" i="17" l="1"/>
  <c r="F101" i="17" s="1"/>
  <c r="I92" i="17"/>
  <c r="H77" i="17"/>
  <c r="H80" i="17" s="1"/>
  <c r="G82" i="17"/>
  <c r="G85" i="17" s="1"/>
  <c r="G101" i="17" s="1"/>
  <c r="G102" i="17" s="1"/>
  <c r="I77" i="17" l="1"/>
  <c r="H82" i="17"/>
  <c r="H85" i="17" s="1"/>
  <c r="H101" i="17" s="1"/>
  <c r="H102" i="17" s="1"/>
  <c r="I93" i="17"/>
  <c r="F102" i="17"/>
  <c r="C82" i="17"/>
  <c r="I95" i="17" l="1"/>
  <c r="J90" i="17" s="1"/>
  <c r="I79" i="17"/>
  <c r="J92" i="17" l="1"/>
  <c r="I85" i="17"/>
  <c r="I101" i="17" s="1"/>
  <c r="C79" i="17"/>
  <c r="C85" i="17" s="1"/>
  <c r="I80" i="17"/>
  <c r="J77" i="17" s="1"/>
  <c r="J80" i="17" s="1"/>
  <c r="K77" i="17" s="1"/>
  <c r="K80" i="17" s="1"/>
  <c r="L77" i="17" s="1"/>
  <c r="L80" i="17" s="1"/>
  <c r="M77" i="17" s="1"/>
  <c r="M80" i="17" s="1"/>
  <c r="N77" i="17" s="1"/>
  <c r="N80" i="17" s="1"/>
  <c r="I102" i="17" l="1"/>
  <c r="J93" i="17"/>
  <c r="J95" i="17" l="1"/>
  <c r="K90" i="17" s="1"/>
  <c r="K92" i="17" l="1"/>
  <c r="K93" i="17" l="1"/>
  <c r="K95" i="17" l="1"/>
  <c r="L90" i="17" s="1"/>
  <c r="L92" i="17" l="1"/>
  <c r="L93" i="17" s="1"/>
  <c r="L94" i="17" l="1"/>
  <c r="L95" i="17"/>
  <c r="M90" i="17" s="1"/>
  <c r="M92" i="17" l="1"/>
  <c r="M93" i="17" s="1"/>
  <c r="M95" i="17" s="1"/>
  <c r="N90" i="17" s="1"/>
  <c r="C94" i="17"/>
  <c r="L98" i="17"/>
  <c r="N92" i="17" l="1"/>
  <c r="L101" i="17"/>
  <c r="C98" i="17"/>
  <c r="L102" i="17" l="1"/>
  <c r="C102" i="17" s="1"/>
  <c r="C113" i="17" s="1"/>
  <c r="C114" i="17"/>
  <c r="C101" i="17"/>
  <c r="N93" i="17"/>
  <c r="C92" i="17"/>
  <c r="C93" i="17" l="1"/>
  <c r="N95" i="17"/>
  <c r="E40" i="16" l="1" a="1"/>
  <c r="E40" i="16" s="1"/>
  <c r="E36" i="16" a="1"/>
  <c r="E36" i="16" s="1"/>
  <c r="E32" i="16" a="1"/>
  <c r="E32" i="16" s="1"/>
  <c r="C179" i="16"/>
  <c r="C177" i="16"/>
  <c r="C174" i="16"/>
  <c r="C171" i="16"/>
  <c r="E14" i="16"/>
  <c r="C14" i="16" s="1"/>
  <c r="C160" i="16"/>
  <c r="E99" i="16"/>
  <c r="B98" i="16"/>
  <c r="E94" i="16"/>
  <c r="E91" i="16"/>
  <c r="E88" i="16"/>
  <c r="E97" i="16" s="1"/>
  <c r="B85" i="16"/>
  <c r="E79" i="16"/>
  <c r="F73" i="16"/>
  <c r="F88" i="16" s="1"/>
  <c r="F97" i="16" s="1"/>
  <c r="B67" i="16"/>
  <c r="B62" i="16"/>
  <c r="E55" i="16"/>
  <c r="B53" i="16"/>
  <c r="B28" i="16"/>
  <c r="E12" i="16"/>
  <c r="F9" i="16"/>
  <c r="B6" i="16"/>
  <c r="B4" i="16"/>
  <c r="F61" i="16" l="1"/>
  <c r="F60" i="16"/>
  <c r="F65" i="16"/>
  <c r="F58" i="16"/>
  <c r="F59" i="16"/>
  <c r="E43" i="16"/>
  <c r="E45" i="16" s="1"/>
  <c r="E39" i="16"/>
  <c r="E35" i="16"/>
  <c r="E31" i="16"/>
  <c r="F51" i="16"/>
  <c r="F52" i="16"/>
  <c r="F47" i="16"/>
  <c r="F49" i="16"/>
  <c r="F50" i="16"/>
  <c r="F48" i="16"/>
  <c r="E52" i="16"/>
  <c r="E51" i="16"/>
  <c r="E50" i="16"/>
  <c r="E48" i="16"/>
  <c r="E47" i="16"/>
  <c r="E49" i="16"/>
  <c r="F44" i="16" a="1"/>
  <c r="F44" i="16" s="1"/>
  <c r="F32" i="16" a="1"/>
  <c r="F32" i="16" s="1"/>
  <c r="F39" i="16"/>
  <c r="F40" i="16" a="1"/>
  <c r="F40" i="16" s="1"/>
  <c r="F43" i="16"/>
  <c r="F35" i="16"/>
  <c r="F31" i="16"/>
  <c r="F36" i="16" a="1"/>
  <c r="F36" i="16" s="1"/>
  <c r="E33" i="16"/>
  <c r="G73" i="16"/>
  <c r="G88" i="16" s="1"/>
  <c r="G90" i="16" s="1"/>
  <c r="F90" i="16"/>
  <c r="F92" i="16" s="1"/>
  <c r="F79" i="16"/>
  <c r="G9" i="16"/>
  <c r="C12" i="16"/>
  <c r="F91" i="16"/>
  <c r="E98" i="16"/>
  <c r="F94" i="16"/>
  <c r="E66" i="16"/>
  <c r="E13" i="16"/>
  <c r="F55" i="16"/>
  <c r="E90" i="16"/>
  <c r="F99" i="16"/>
  <c r="G60" i="16" l="1"/>
  <c r="G59" i="16"/>
  <c r="G61" i="16"/>
  <c r="G65" i="16"/>
  <c r="G58" i="16"/>
  <c r="G52" i="16"/>
  <c r="G50" i="16"/>
  <c r="G51" i="16"/>
  <c r="G48" i="16"/>
  <c r="G49" i="16"/>
  <c r="G47" i="16"/>
  <c r="F41" i="16"/>
  <c r="F37" i="16"/>
  <c r="F33" i="16"/>
  <c r="G31" i="16"/>
  <c r="G44" i="16" a="1"/>
  <c r="G44" i="16" s="1"/>
  <c r="G32" i="16" a="1"/>
  <c r="G32" i="16" s="1"/>
  <c r="G36" i="16" a="1"/>
  <c r="G36" i="16" s="1"/>
  <c r="G39" i="16"/>
  <c r="G40" i="16" a="1"/>
  <c r="G40" i="16" s="1"/>
  <c r="G43" i="16"/>
  <c r="G35" i="16"/>
  <c r="F45" i="16"/>
  <c r="C13" i="16"/>
  <c r="XFD13" i="16" s="1"/>
  <c r="E37" i="16"/>
  <c r="G91" i="16"/>
  <c r="G97" i="16"/>
  <c r="H73" i="16"/>
  <c r="H94" i="16" s="1"/>
  <c r="G94" i="16"/>
  <c r="F93" i="16"/>
  <c r="F95" i="16" s="1"/>
  <c r="E80" i="16"/>
  <c r="E84" i="16"/>
  <c r="E28" i="16"/>
  <c r="E41" i="16" s="1"/>
  <c r="E92" i="16"/>
  <c r="F66" i="16"/>
  <c r="E67" i="16"/>
  <c r="G79" i="16"/>
  <c r="H9" i="16"/>
  <c r="G55" i="16"/>
  <c r="G99" i="16"/>
  <c r="F98" i="16"/>
  <c r="G92" i="16"/>
  <c r="H65" i="16" l="1"/>
  <c r="F53" i="16"/>
  <c r="E53" i="16"/>
  <c r="E54" i="16" s="1"/>
  <c r="G45" i="16"/>
  <c r="G41" i="16"/>
  <c r="G33" i="16"/>
  <c r="H36" i="16" a="1"/>
  <c r="H36" i="16" s="1"/>
  <c r="H44" i="16" a="1"/>
  <c r="H44" i="16" s="1"/>
  <c r="H32" i="16" a="1"/>
  <c r="H32" i="16" s="1"/>
  <c r="H40" i="16" a="1"/>
  <c r="H40" i="16" s="1"/>
  <c r="G37" i="16"/>
  <c r="H19" i="16"/>
  <c r="H20" i="16" s="1"/>
  <c r="H22" i="16"/>
  <c r="H23" i="16" s="1"/>
  <c r="H25" i="16"/>
  <c r="H26" i="16"/>
  <c r="H16" i="16"/>
  <c r="H17" i="16" s="1"/>
  <c r="E62" i="16"/>
  <c r="G98" i="16"/>
  <c r="G93" i="16"/>
  <c r="G95" i="16" s="1"/>
  <c r="F62" i="16"/>
  <c r="H88" i="16"/>
  <c r="H97" i="16" s="1"/>
  <c r="I73" i="16"/>
  <c r="I94" i="16" s="1"/>
  <c r="H91" i="16"/>
  <c r="G66" i="16"/>
  <c r="G67" i="16" s="1"/>
  <c r="H99" i="16"/>
  <c r="H79" i="16"/>
  <c r="I9" i="16"/>
  <c r="H55" i="16"/>
  <c r="F77" i="16"/>
  <c r="E82" i="16"/>
  <c r="F67" i="16"/>
  <c r="E93" i="16"/>
  <c r="I58" i="16" l="1"/>
  <c r="I59" i="16"/>
  <c r="I61" i="16"/>
  <c r="I60" i="16"/>
  <c r="I65" i="16"/>
  <c r="G53" i="16"/>
  <c r="I36" i="16" a="1"/>
  <c r="I36" i="16" s="1"/>
  <c r="I44" i="16" a="1"/>
  <c r="I44" i="16" s="1"/>
  <c r="I32" i="16" a="1"/>
  <c r="I32" i="16" s="1"/>
  <c r="I40" i="16" a="1"/>
  <c r="I40" i="16" s="1"/>
  <c r="H27" i="16"/>
  <c r="H78" i="16" s="1"/>
  <c r="I16" i="16"/>
  <c r="I17" i="16" s="1"/>
  <c r="I19" i="16"/>
  <c r="I20" i="16" s="1"/>
  <c r="I22" i="16"/>
  <c r="I23" i="16" s="1"/>
  <c r="I25" i="16"/>
  <c r="I26" i="16"/>
  <c r="E69" i="16"/>
  <c r="E70" i="16" s="1"/>
  <c r="H90" i="16"/>
  <c r="H92" i="16" s="1"/>
  <c r="H98" i="16"/>
  <c r="I82" i="16"/>
  <c r="J73" i="16"/>
  <c r="J94" i="16" s="1"/>
  <c r="E85" i="16"/>
  <c r="H66" i="16"/>
  <c r="H67" i="16" s="1"/>
  <c r="J9" i="16"/>
  <c r="F54" i="16"/>
  <c r="G62" i="16"/>
  <c r="E95" i="16"/>
  <c r="J58" i="16" l="1"/>
  <c r="J60" i="16"/>
  <c r="J59" i="16"/>
  <c r="J61" i="16"/>
  <c r="J65" i="16"/>
  <c r="J36" i="16" a="1"/>
  <c r="J36" i="16" s="1"/>
  <c r="J32" i="16" a="1"/>
  <c r="J32" i="16" s="1"/>
  <c r="J40" i="16" a="1"/>
  <c r="J40" i="16" s="1"/>
  <c r="J44" i="16" a="1"/>
  <c r="J44" i="16" s="1"/>
  <c r="I27" i="16"/>
  <c r="I78" i="16" s="1"/>
  <c r="E101" i="16"/>
  <c r="E102" i="16" s="1"/>
  <c r="J16" i="16"/>
  <c r="J17" i="16" s="1"/>
  <c r="J19" i="16"/>
  <c r="J20" i="16" s="1"/>
  <c r="J22" i="16"/>
  <c r="J23" i="16" s="1"/>
  <c r="J25" i="16"/>
  <c r="J26" i="16"/>
  <c r="K73" i="16"/>
  <c r="K94" i="16" s="1"/>
  <c r="G54" i="16"/>
  <c r="J88" i="16"/>
  <c r="J97" i="16" s="1"/>
  <c r="J82" i="16"/>
  <c r="H28" i="16"/>
  <c r="H84" i="16"/>
  <c r="K9" i="16"/>
  <c r="J55" i="16"/>
  <c r="J79" i="16"/>
  <c r="J99" i="16"/>
  <c r="I66" i="16"/>
  <c r="I67" i="16" s="1"/>
  <c r="H93" i="16"/>
  <c r="K65" i="16" l="1"/>
  <c r="K59" i="16"/>
  <c r="K58" i="16"/>
  <c r="K60" i="16"/>
  <c r="K61" i="16"/>
  <c r="K40" i="16" a="1"/>
  <c r="K40" i="16" s="1"/>
  <c r="K32" i="16" a="1"/>
  <c r="K32" i="16" s="1"/>
  <c r="K36" i="16" a="1"/>
  <c r="K36" i="16" s="1"/>
  <c r="K44" i="16" a="1"/>
  <c r="K44" i="16" s="1"/>
  <c r="J27" i="16"/>
  <c r="J78" i="16" s="1"/>
  <c r="K16" i="16"/>
  <c r="K17" i="16" s="1"/>
  <c r="K19" i="16"/>
  <c r="K20" i="16" s="1"/>
  <c r="K22" i="16"/>
  <c r="K23" i="16" s="1"/>
  <c r="K25" i="16"/>
  <c r="K26" i="16"/>
  <c r="K88" i="16"/>
  <c r="K97" i="16" s="1"/>
  <c r="K82" i="16"/>
  <c r="L73" i="16"/>
  <c r="L82" i="16" s="1"/>
  <c r="I28" i="16"/>
  <c r="I84" i="16"/>
  <c r="H95" i="16"/>
  <c r="K55" i="16"/>
  <c r="K79" i="16"/>
  <c r="K99" i="16"/>
  <c r="L9" i="16"/>
  <c r="J66" i="16"/>
  <c r="J67" i="16" s="1"/>
  <c r="I62" i="16"/>
  <c r="L58" i="16" l="1"/>
  <c r="L59" i="16"/>
  <c r="L60" i="16"/>
  <c r="L61" i="16"/>
  <c r="L36" i="16" a="1"/>
  <c r="L36" i="16" s="1"/>
  <c r="L32" i="16" a="1"/>
  <c r="L32" i="16" s="1"/>
  <c r="L40" i="16" a="1"/>
  <c r="L40" i="16" s="1"/>
  <c r="L44" i="16" a="1"/>
  <c r="L44" i="16" s="1"/>
  <c r="K27" i="16"/>
  <c r="K78" i="16" s="1"/>
  <c r="L16" i="16"/>
  <c r="L17" i="16" s="1"/>
  <c r="L19" i="16"/>
  <c r="L20" i="16" s="1"/>
  <c r="L22" i="16"/>
  <c r="L23" i="16" s="1"/>
  <c r="L26" i="16"/>
  <c r="L25" i="16"/>
  <c r="L88" i="16"/>
  <c r="L97" i="16" s="1"/>
  <c r="M73" i="16"/>
  <c r="N73" i="16" s="1"/>
  <c r="J84" i="16"/>
  <c r="J85" i="16" s="1"/>
  <c r="J62" i="16"/>
  <c r="M9" i="16"/>
  <c r="L79" i="16"/>
  <c r="L99" i="16"/>
  <c r="L55" i="16"/>
  <c r="J28" i="16"/>
  <c r="K66" i="16"/>
  <c r="K67" i="16" s="1"/>
  <c r="M65" i="16" l="1"/>
  <c r="M61" i="16"/>
  <c r="M58" i="16"/>
  <c r="M59" i="16"/>
  <c r="M60" i="16"/>
  <c r="M44" i="16" a="1"/>
  <c r="M44" i="16" s="1"/>
  <c r="M36" i="16" a="1"/>
  <c r="M36" i="16" s="1"/>
  <c r="M32" i="16" a="1"/>
  <c r="M32" i="16" s="1"/>
  <c r="M40" i="16" a="1"/>
  <c r="M40" i="16" s="1"/>
  <c r="L27" i="16"/>
  <c r="L28" i="16" s="1"/>
  <c r="M26" i="16"/>
  <c r="M16" i="16"/>
  <c r="M17" i="16" s="1"/>
  <c r="M25" i="16"/>
  <c r="M19" i="16"/>
  <c r="M20" i="16" s="1"/>
  <c r="M22" i="16"/>
  <c r="M23" i="16" s="1"/>
  <c r="M54" i="16"/>
  <c r="M91" i="16"/>
  <c r="M94" i="16"/>
  <c r="M88" i="16"/>
  <c r="M97" i="16" s="1"/>
  <c r="M82" i="16"/>
  <c r="K28" i="16"/>
  <c r="K62" i="16"/>
  <c r="K84" i="16"/>
  <c r="K85" i="16" s="1"/>
  <c r="M55" i="16"/>
  <c r="M79" i="16"/>
  <c r="M99" i="16"/>
  <c r="N9" i="16"/>
  <c r="M69" i="16"/>
  <c r="M70" i="16" s="1"/>
  <c r="N88" i="16"/>
  <c r="N82" i="16"/>
  <c r="N94" i="16"/>
  <c r="N91" i="16"/>
  <c r="L78" i="16" l="1"/>
  <c r="M27" i="16"/>
  <c r="M78" i="16" s="1"/>
  <c r="N61" i="16"/>
  <c r="N60" i="16"/>
  <c r="N65" i="16"/>
  <c r="N53" i="16"/>
  <c r="N58" i="16"/>
  <c r="N59" i="16"/>
  <c r="N44" i="16" a="1"/>
  <c r="N44" i="16" s="1"/>
  <c r="N36" i="16" a="1"/>
  <c r="N36" i="16" s="1"/>
  <c r="N32" i="16" a="1"/>
  <c r="N32" i="16" s="1"/>
  <c r="N40" i="16" a="1"/>
  <c r="N40" i="16" s="1"/>
  <c r="N25" i="16"/>
  <c r="N26" i="16"/>
  <c r="N22" i="16"/>
  <c r="N23" i="16" s="1"/>
  <c r="N16" i="16"/>
  <c r="N17" i="16" s="1"/>
  <c r="N19" i="16"/>
  <c r="N20" i="16" s="1"/>
  <c r="M98" i="16"/>
  <c r="L62" i="16"/>
  <c r="L84" i="16"/>
  <c r="L85" i="16" s="1"/>
  <c r="N99" i="16"/>
  <c r="N54" i="16"/>
  <c r="N55" i="16"/>
  <c r="N69" i="16"/>
  <c r="N70" i="16" s="1"/>
  <c r="N79" i="16"/>
  <c r="M66" i="16"/>
  <c r="M67" i="16" s="1"/>
  <c r="N97" i="16"/>
  <c r="N98" i="16" s="1"/>
  <c r="N27" i="16" l="1"/>
  <c r="N78" i="16" s="1"/>
  <c r="M62" i="16"/>
  <c r="M28" i="16"/>
  <c r="M84" i="16"/>
  <c r="M85" i="16" s="1"/>
  <c r="M101" i="16" s="1"/>
  <c r="M102" i="16" s="1"/>
  <c r="N66" i="16"/>
  <c r="N28" i="16" l="1"/>
  <c r="N62" i="16"/>
  <c r="N67" i="16"/>
  <c r="N84" i="16" l="1"/>
  <c r="N85" i="16" s="1"/>
  <c r="N101" i="16" s="1"/>
  <c r="N102" i="16" s="1"/>
  <c r="B3" i="12" l="1"/>
  <c r="C134" i="16"/>
  <c r="G22" i="16" s="1"/>
  <c r="G23" i="16" s="1"/>
  <c r="C133" i="16"/>
  <c r="F19" i="16" s="1"/>
  <c r="F20" i="16" s="1"/>
  <c r="XFD127" i="16"/>
  <c r="G19" i="16" l="1"/>
  <c r="G20" i="16" s="1"/>
  <c r="C143" i="16"/>
  <c r="C210" i="16"/>
  <c r="C141" i="16"/>
  <c r="C209" i="16"/>
  <c r="F22" i="16"/>
  <c r="F23" i="16" s="1"/>
  <c r="N35" i="16" l="1"/>
  <c r="N37" i="16" s="1"/>
  <c r="K35" i="16"/>
  <c r="K37" i="16" s="1"/>
  <c r="N49" i="16"/>
  <c r="K50" i="16"/>
  <c r="J49" i="16"/>
  <c r="M50" i="16"/>
  <c r="J50" i="16"/>
  <c r="M35" i="16"/>
  <c r="M37" i="16" s="1"/>
  <c r="I50" i="16"/>
  <c r="M49" i="16"/>
  <c r="L35" i="16"/>
  <c r="L37" i="16" s="1"/>
  <c r="H50" i="16"/>
  <c r="L49" i="16"/>
  <c r="N50" i="16"/>
  <c r="I49" i="16"/>
  <c r="J35" i="16"/>
  <c r="J37" i="16" s="1"/>
  <c r="H35" i="16"/>
  <c r="H37" i="16" s="1"/>
  <c r="H58" i="16"/>
  <c r="C58" i="16" s="1"/>
  <c r="I35" i="16"/>
  <c r="I37" i="16" s="1"/>
  <c r="L50" i="16"/>
  <c r="H59" i="16"/>
  <c r="C59" i="16" s="1"/>
  <c r="H49" i="16"/>
  <c r="K49" i="16"/>
  <c r="M39" i="16"/>
  <c r="M41" i="16" s="1"/>
  <c r="N51" i="16"/>
  <c r="K51" i="16"/>
  <c r="L39" i="16"/>
  <c r="L41" i="16" s="1"/>
  <c r="K52" i="16"/>
  <c r="J51" i="16"/>
  <c r="N39" i="16"/>
  <c r="N41" i="16" s="1"/>
  <c r="N52" i="16"/>
  <c r="J52" i="16"/>
  <c r="M52" i="16"/>
  <c r="H61" i="16"/>
  <c r="C61" i="16" s="1"/>
  <c r="J39" i="16"/>
  <c r="J41" i="16" s="1"/>
  <c r="I51" i="16"/>
  <c r="M51" i="16"/>
  <c r="H39" i="16"/>
  <c r="H41" i="16" s="1"/>
  <c r="I52" i="16"/>
  <c r="K39" i="16"/>
  <c r="K41" i="16" s="1"/>
  <c r="L51" i="16"/>
  <c r="H52" i="16"/>
  <c r="H60" i="16"/>
  <c r="H51" i="16"/>
  <c r="L52" i="16"/>
  <c r="C146" i="16"/>
  <c r="I39" i="16"/>
  <c r="I41" i="16" s="1"/>
  <c r="C51" i="16" l="1"/>
  <c r="C41" i="16"/>
  <c r="H62" i="16"/>
  <c r="C60" i="16"/>
  <c r="C52" i="16"/>
  <c r="C37" i="16"/>
  <c r="C49" i="16"/>
  <c r="C50" i="16"/>
  <c r="C62" i="16" l="1"/>
  <c r="F16" i="16"/>
  <c r="F17" i="16" s="1"/>
  <c r="G16" i="16"/>
  <c r="G17" i="16" s="1"/>
  <c r="J48" i="16"/>
  <c r="I31" i="16"/>
  <c r="L48" i="16"/>
  <c r="L47" i="16" l="1"/>
  <c r="C208" i="16"/>
  <c r="C211" i="16" s="1"/>
  <c r="L43" i="16" s="1"/>
  <c r="L45" i="16" s="1"/>
  <c r="H48" i="16"/>
  <c r="N31" i="16"/>
  <c r="N33" i="16" s="1"/>
  <c r="L31" i="16"/>
  <c r="L33" i="16" s="1"/>
  <c r="N48" i="16"/>
  <c r="M48" i="16"/>
  <c r="I47" i="16"/>
  <c r="J31" i="16"/>
  <c r="J33" i="16" s="1"/>
  <c r="I33" i="16"/>
  <c r="K47" i="16"/>
  <c r="J47" i="16"/>
  <c r="N47" i="16"/>
  <c r="H47" i="16"/>
  <c r="M47" i="16"/>
  <c r="I48" i="16"/>
  <c r="H31" i="16"/>
  <c r="K48" i="16"/>
  <c r="M31" i="16"/>
  <c r="K31" i="16"/>
  <c r="M43" i="16" l="1"/>
  <c r="M45" i="16" s="1"/>
  <c r="I43" i="16"/>
  <c r="I45" i="16" s="1"/>
  <c r="H43" i="16"/>
  <c r="H45" i="16" s="1"/>
  <c r="C218" i="16"/>
  <c r="C121" i="16" s="1"/>
  <c r="J43" i="16"/>
  <c r="J45" i="16" s="1"/>
  <c r="K43" i="16"/>
  <c r="K45" i="16" s="1"/>
  <c r="N43" i="16"/>
  <c r="N45" i="16" s="1"/>
  <c r="C214" i="16"/>
  <c r="G25" i="16" s="1"/>
  <c r="L53" i="16"/>
  <c r="L54" i="16" s="1"/>
  <c r="C48" i="16"/>
  <c r="C47" i="16"/>
  <c r="C31" i="16"/>
  <c r="H33" i="16"/>
  <c r="H53" i="16" s="1"/>
  <c r="K33" i="16"/>
  <c r="M33" i="16"/>
  <c r="M53" i="16" l="1"/>
  <c r="L65" i="16" s="1"/>
  <c r="G26" i="16"/>
  <c r="G27" i="16" s="1"/>
  <c r="G28" i="16" s="1"/>
  <c r="G69" i="16" s="1"/>
  <c r="G70" i="16" s="1"/>
  <c r="I53" i="16"/>
  <c r="I54" i="16" s="1"/>
  <c r="I55" i="16" s="1"/>
  <c r="C55" i="16" s="1"/>
  <c r="C246" i="16" s="1"/>
  <c r="C220" i="16"/>
  <c r="F26" i="16"/>
  <c r="J53" i="16"/>
  <c r="J54" i="16" s="1"/>
  <c r="J69" i="16" s="1"/>
  <c r="J70" i="16" s="1"/>
  <c r="C45" i="16"/>
  <c r="C216" i="16"/>
  <c r="F25" i="16"/>
  <c r="C120" i="16"/>
  <c r="K53" i="16"/>
  <c r="K54" i="16" s="1"/>
  <c r="K69" i="16" s="1"/>
  <c r="K70" i="16" s="1"/>
  <c r="C65" i="16"/>
  <c r="L66" i="16"/>
  <c r="C66" i="16" s="1"/>
  <c r="C33" i="16"/>
  <c r="H54" i="16"/>
  <c r="C249" i="16" l="1"/>
  <c r="C250" i="16"/>
  <c r="C251" i="16" s="1"/>
  <c r="I88" i="16" s="1"/>
  <c r="C26" i="16"/>
  <c r="I69" i="16"/>
  <c r="I70" i="16" s="1"/>
  <c r="F27" i="16"/>
  <c r="C27" i="16" s="1"/>
  <c r="C236" i="16" s="1"/>
  <c r="C237" i="16" s="1"/>
  <c r="F78" i="16" s="1"/>
  <c r="F80" i="16" s="1"/>
  <c r="F28" i="16"/>
  <c r="C28" i="16" s="1"/>
  <c r="C107" i="16" s="1"/>
  <c r="C25" i="16"/>
  <c r="C53" i="16"/>
  <c r="H69" i="16"/>
  <c r="H70" i="16" s="1"/>
  <c r="C54" i="16"/>
  <c r="L67" i="16"/>
  <c r="F69" i="16" l="1"/>
  <c r="G78" i="16"/>
  <c r="K91" i="16"/>
  <c r="K98" i="16" s="1"/>
  <c r="K101" i="16" s="1"/>
  <c r="K102" i="16" s="1"/>
  <c r="J91" i="16"/>
  <c r="J98" i="16" s="1"/>
  <c r="J101" i="16" s="1"/>
  <c r="J102" i="16" s="1"/>
  <c r="L91" i="16"/>
  <c r="I91" i="16"/>
  <c r="F70" i="16"/>
  <c r="C108" i="16"/>
  <c r="C88" i="16"/>
  <c r="I90" i="16"/>
  <c r="I97" i="16"/>
  <c r="C67" i="16"/>
  <c r="L69" i="16"/>
  <c r="L70" i="16" s="1"/>
  <c r="C91" i="16" l="1"/>
  <c r="I98" i="16"/>
  <c r="I99" i="16"/>
  <c r="C99" i="16" s="1"/>
  <c r="C70" i="16"/>
  <c r="C106" i="16" s="1"/>
  <c r="I92" i="16"/>
  <c r="F84" i="16"/>
  <c r="C78" i="16"/>
  <c r="C69" i="16"/>
  <c r="G84" i="16"/>
  <c r="I93" i="16" l="1"/>
  <c r="F82" i="16"/>
  <c r="G77" i="16"/>
  <c r="G80" i="16" s="1"/>
  <c r="F85" i="16" l="1"/>
  <c r="F101" i="16" s="1"/>
  <c r="I95" i="16"/>
  <c r="J90" i="16" s="1"/>
  <c r="H77" i="16"/>
  <c r="H80" i="16" s="1"/>
  <c r="G82" i="16"/>
  <c r="G85" i="16" s="1"/>
  <c r="G101" i="16" s="1"/>
  <c r="G102" i="16" s="1"/>
  <c r="F102" i="16" l="1"/>
  <c r="H82" i="16"/>
  <c r="H85" i="16" s="1"/>
  <c r="H101" i="16" s="1"/>
  <c r="H102" i="16" s="1"/>
  <c r="I77" i="16"/>
  <c r="J92" i="16"/>
  <c r="C82" i="16" l="1"/>
  <c r="J93" i="16"/>
  <c r="I79" i="16"/>
  <c r="I80" i="16" s="1"/>
  <c r="I85" i="16" l="1"/>
  <c r="I101" i="16" s="1"/>
  <c r="C79" i="16"/>
  <c r="C85" i="16" s="1"/>
  <c r="J77" i="16"/>
  <c r="J80" i="16" s="1"/>
  <c r="J95" i="16"/>
  <c r="K90" i="16" s="1"/>
  <c r="K77" i="16" l="1"/>
  <c r="K80" i="16" s="1"/>
  <c r="K92" i="16"/>
  <c r="I102" i="16"/>
  <c r="L77" i="16" l="1"/>
  <c r="L80" i="16" s="1"/>
  <c r="K93" i="16"/>
  <c r="M77" i="16" l="1"/>
  <c r="M80" i="16" s="1"/>
  <c r="K95" i="16"/>
  <c r="L90" i="16" s="1"/>
  <c r="N77" i="16" l="1"/>
  <c r="N80" i="16" s="1"/>
  <c r="L92" i="16"/>
  <c r="L93" i="16" l="1"/>
  <c r="L94" i="16" l="1"/>
  <c r="L95" i="16" s="1"/>
  <c r="M90" i="16" s="1"/>
  <c r="M92" i="16" l="1"/>
  <c r="C94" i="16"/>
  <c r="L98" i="16"/>
  <c r="L101" i="16" l="1"/>
  <c r="C98" i="16"/>
  <c r="M93" i="16"/>
  <c r="M95" i="16" l="1"/>
  <c r="N90" i="16" s="1"/>
  <c r="L102" i="16"/>
  <c r="C102" i="16" s="1"/>
  <c r="C113" i="16" s="1"/>
  <c r="C114" i="16"/>
  <c r="C101" i="16"/>
  <c r="N92" i="16" l="1"/>
  <c r="N93" i="16" l="1"/>
  <c r="C92" i="16"/>
  <c r="C93" i="16" l="1"/>
  <c r="N95"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<sst xmlns="http://schemas.openxmlformats.org/spreadsheetml/2006/main" count="583" uniqueCount="184">
  <si>
    <t>CPLN 540 - Introduction to Real Estate</t>
  </si>
  <si>
    <t>Final Exam - Financial Analysis Instructions</t>
  </si>
  <si>
    <t>Premise</t>
  </si>
  <si>
    <t xml:space="preserve">You are a real estate development company in charge of creating a redevelopment plan for the Battery Phase II site. One component of the development plan will be a financial model that showcases the financial viability of your proposed development. </t>
  </si>
  <si>
    <r>
      <t xml:space="preserve">A market study and evaluation of current conditions provided the set of assumptions criteria listed below (starting in row 18). </t>
    </r>
    <r>
      <rPr>
        <i/>
        <sz val="11"/>
        <color theme="1"/>
        <rFont val="Tw Cen MT"/>
        <family val="2"/>
      </rPr>
      <t>Note, if you'd like, you may propose adjustments to some of these assumtpions, but any proposed changes should be rooted in market dynamics and justifable (e.g., it is not realistic to propose a 3% interest rate as an alterative to a 5.25% interest rate in the market; similarly, it is not realistic to assume a change in something like tax rates, which are set by the City).</t>
    </r>
    <r>
      <rPr>
        <sz val="11"/>
        <color theme="1"/>
        <rFont val="tw cen mt"/>
        <family val="2"/>
      </rPr>
      <t xml:space="preserve">
However, while you have some market conditons, you will still need to develop the following as part of your creation of a plan for development of the site.
</t>
    </r>
    <r>
      <rPr>
        <b/>
        <sz val="11"/>
        <color theme="1"/>
        <rFont val="Tw Cen MT"/>
        <family val="2"/>
      </rPr>
      <t xml:space="preserve">• Development program - </t>
    </r>
    <r>
      <rPr>
        <sz val="11"/>
        <color theme="1"/>
        <rFont val="tw cen mt"/>
        <family val="2"/>
      </rPr>
      <t xml:space="preserve">Determine the optimal development program (uses, total square footage, etc.), informed by zoning capacity and total demand of what can be reasonably absorbed by the market.
</t>
    </r>
    <r>
      <rPr>
        <b/>
        <sz val="11"/>
        <color theme="1"/>
        <rFont val="Tw Cen MT"/>
        <family val="2"/>
      </rPr>
      <t xml:space="preserve">• Development characteristics - </t>
    </r>
    <r>
      <rPr>
        <sz val="11"/>
        <color theme="1"/>
        <rFont val="tw cen mt"/>
        <family val="2"/>
      </rPr>
      <t xml:space="preserve">Determine the design elements for inclusion in the development program (e.g., above or below grade parking, inclusion of ground floor retail, etc.). </t>
    </r>
    <r>
      <rPr>
        <b/>
        <sz val="11"/>
        <color theme="1"/>
        <rFont val="Tw Cen MT"/>
        <family val="2"/>
      </rPr>
      <t xml:space="preserve">
• Achievabel rents - </t>
    </r>
    <r>
      <rPr>
        <sz val="11"/>
        <color theme="1"/>
        <rFont val="tw cen mt"/>
        <family val="2"/>
      </rPr>
      <t>Determine the achievable rents ($/SF) for each of the uses included (informed by market precedent or other data that supports your investment thesis).</t>
    </r>
    <r>
      <rPr>
        <b/>
        <sz val="11"/>
        <color theme="1"/>
        <rFont val="Tw Cen MT"/>
        <family val="2"/>
      </rPr>
      <t xml:space="preserve">
• Land value (acquisition cost) - </t>
    </r>
    <r>
      <rPr>
        <sz val="11"/>
        <color theme="1"/>
        <rFont val="tw cen mt"/>
        <family val="2"/>
      </rPr>
      <t>Determine the value of the land (in other words, what you would be willing to pay the current property owner to build your proposed development and still meet your return requirements).</t>
    </r>
    <r>
      <rPr>
        <b/>
        <sz val="11"/>
        <color theme="1"/>
        <rFont val="Tw Cen MT"/>
        <family val="2"/>
      </rPr>
      <t xml:space="preserve">
• Public benefits - </t>
    </r>
    <r>
      <rPr>
        <sz val="11"/>
        <color theme="1"/>
        <rFont val="tw cen mt"/>
        <family val="2"/>
      </rPr>
      <t>Determine whether you will support a contribution to the City for the proposed riverwalk project (see below for detail). And if so, which option would you propose advancing.</t>
    </r>
  </si>
  <si>
    <r>
      <rPr>
        <b/>
        <sz val="11"/>
        <color theme="1"/>
        <rFont val="Tw Cen MT"/>
        <family val="2"/>
      </rPr>
      <t xml:space="preserve">Required Returns - </t>
    </r>
    <r>
      <rPr>
        <sz val="11"/>
        <color theme="1"/>
        <rFont val="tw cen mt"/>
        <family val="2"/>
      </rPr>
      <t xml:space="preserve">You know that your equity investors will require a 20% return on their equity investment (levered IRR), so any development proposal that you put forth must meet this criteria. </t>
    </r>
  </si>
  <si>
    <r>
      <rPr>
        <b/>
        <sz val="11"/>
        <color theme="1"/>
        <rFont val="Tw Cen MT"/>
        <family val="2"/>
      </rPr>
      <t xml:space="preserve">Public Benefits - </t>
    </r>
    <r>
      <rPr>
        <sz val="11"/>
        <color theme="1"/>
        <rFont val="tw cen mt"/>
        <family val="2"/>
      </rPr>
      <t xml:space="preserve"> The City has long been interested in better activating the waterfront, not only with new real estate development, but also with public amenities. As part of this goal, they are interested in establishing a Riverwalk along the waterfront on your property as a public open space directly along the water (but not impeding on any of your developable area). As a pubic-minded developer, you recognize this could be a great public benefit. It could also help activate your site, in turn creating value that supports overall development feasibility. The City has two potential Riverwalk proposals, one that is smaller scale and less transformative ("Option 1") and another that is more transformative but also more expensive ("Option 2"). In your initial discussions on project approval, the City noted that it is seeking a contribution from you as the developer in order to advance the project: $2 million for advancing the smaller scale Option 1, or $4 million for advancing the larger scale Option 2. Alternatively, you can tell the City "no" and the Riverwalk project would just be scrapped. As part of your analysis, you will need to determine if you are willing to support this contribution. </t>
    </r>
  </si>
  <si>
    <r>
      <rPr>
        <b/>
        <sz val="11"/>
        <color theme="1"/>
        <rFont val="Tw Cen MT"/>
        <family val="2"/>
      </rPr>
      <t xml:space="preserve">Presenting Financial Proposal -  </t>
    </r>
    <r>
      <rPr>
        <sz val="11"/>
        <color theme="1"/>
        <rFont val="tw cen mt"/>
        <family val="2"/>
      </rPr>
      <t xml:space="preserve">In presenting your financial analysis, you should be able to clearly address the following:
</t>
    </r>
    <r>
      <rPr>
        <b/>
        <sz val="11"/>
        <color theme="1"/>
        <rFont val="Tw Cen MT"/>
        <family val="2"/>
      </rPr>
      <t>• What gives you confidence in the market demand to support the use(s) you are proposing?
• What rents are you projecting for each use and what gives you confidence in the ability to achieve those rents? 
• How do potential development program assumptions (e.g., inclusion/exclusion of retail, locating parking above ground or underground, inclusion/exclusion of the Riverwalk, etc.) impact thinking on the achievable rents?
• What characteristics about the site informed the development uses included in your proposed development and your thinking on achievable rents?
• Are you supportive of the City's Riverwalk project and planning to provide a contribution? If so, what amount are you interested in providing? What is the impact to feasibility</t>
    </r>
    <r>
      <rPr>
        <sz val="11"/>
        <color theme="1"/>
        <rFont val="tw cen mt"/>
        <family val="2"/>
      </rPr>
      <t xml:space="preserve">
</t>
    </r>
    <r>
      <rPr>
        <b/>
        <sz val="11"/>
        <color theme="1"/>
        <rFont val="Tw Cen MT"/>
        <family val="2"/>
      </rPr>
      <t>• What components of the financial analysis made feasibility difficult? How did you overcome them (or what changes to development program or assumptions did you have to make) in coming up with a viable development plan?</t>
    </r>
  </si>
  <si>
    <t>Assumptions</t>
  </si>
  <si>
    <t xml:space="preserve">Acquisition, Construction and Lease Up
• Land cost: Assume land is purchased in Year 1; Development team (you!) to confirm proposed acquisition cost for land
• Transaction costs: 5% of acquisition cost
 • Approvals period: Year 1
 • Construction period: Years 2 &amp; 3 - costs incurred evenly
 • Lease Up: Year 4
 • Stabilization: Year 5
 • Occupancy during lease up:
          ○ Residential: 50%
          ○ Office: 70%
          ○ Retail: 70%
          ○ Parking: 50%
 • Stabilized occupancy: 95% (all uses)
 • Projected general inflation: 2.5% per year (annual rent revenue growth across all uses should match inflation)
 • Riverwalk (optional contribution to the City; if making a contribution it will occur fully in Year 1 following land purchase); Options:
          ○ $0 (no contribution to the City and Riverwalk project is scrapped)
          ○ $2 million (smaller scale "option 1" Riverwalk) 
          ○ $4 million (larger scale "option 2 Riverwalk) 
Project Sale
 • Property sale: Year 8
 • Exist cap rate: 5.5% 
 • Sale Cost: 5% of sale price
 • Required equity return: 20%
</t>
  </si>
  <si>
    <r>
      <rPr>
        <b/>
        <u/>
        <sz val="11"/>
        <color theme="1"/>
        <rFont val="Tw Cen MT"/>
        <family val="2"/>
      </rPr>
      <t xml:space="preserve">Residential
</t>
    </r>
    <r>
      <rPr>
        <sz val="11"/>
        <color theme="1"/>
        <rFont val="tw cen mt"/>
        <family val="2"/>
      </rPr>
      <t xml:space="preserve">•  Residential space efficiency (% leasable): 82%
•  Construction hard cost: $200 per GSF (excluding parking)
•  Construction soft cost: 20% of hard costs 
•  Annual additional revenue collected (amenity fees, pet rent, etc.): 4% of rent revenue
 • Residential property taxes per RSF (current year $): $5 (does not apply to parking SF)
 • Residential operating costs per RSF (current year $): $8 
</t>
    </r>
    <r>
      <rPr>
        <b/>
        <u/>
        <sz val="11"/>
        <color theme="1"/>
        <rFont val="Tw Cen MT"/>
        <family val="2"/>
      </rPr>
      <t xml:space="preserve">
Office
</t>
    </r>
    <r>
      <rPr>
        <sz val="11"/>
        <color theme="1"/>
        <rFont val="tw cen mt"/>
        <family val="2"/>
      </rPr>
      <t xml:space="preserve">•  Office space efficiency (% leasable): 95%
•  Construction hard cost: $200 per GSF (excluding parking)
•  Construction soft cost: 20% of hard costs 
•  Office tenant improvement allowance (current year $): $100 per RSF
•  Office leasing commission cost (current year $): $30 per RSF
 • Office property taxes per RSF (current year $): $5 (does not apply to parking SF)
 • Office operating costs per RSF (current year $): $8 
</t>
    </r>
    <r>
      <rPr>
        <b/>
        <u/>
        <sz val="11"/>
        <color theme="1"/>
        <rFont val="Tw Cen MT"/>
        <family val="2"/>
      </rPr>
      <t xml:space="preserve">Retail
</t>
    </r>
    <r>
      <rPr>
        <sz val="11"/>
        <color theme="1"/>
        <rFont val="tw cen mt"/>
        <family val="2"/>
      </rPr>
      <t xml:space="preserve">•  Retail space efficiency (% leasable): 90%
•  Construction hard cost: $200 per GSF (excluding parking)
•  Construction soft cost: 20% of hard costs 
•  Retail tenant improvement allowance (current year $): $80 per RSF
•  Retail leasing commission cost (current year $): $30 per RSF
 • Retail property taxes per RSF (current year $): $0 (Retail leases are NNN in structure, so taxes are paid for by the tenant)
 • Retail operating costs per RSF (current year $): $0 (Retail leases are NNN in structure, so operating costs are paid for by the tenant)
</t>
    </r>
  </si>
  <si>
    <r>
      <rPr>
        <b/>
        <u/>
        <sz val="11"/>
        <color theme="1"/>
        <rFont val="Tw Cen MT"/>
        <family val="2"/>
      </rPr>
      <t>Parking</t>
    </r>
    <r>
      <rPr>
        <sz val="11"/>
        <color theme="1"/>
        <rFont val="tw cen mt"/>
        <family val="2"/>
      </rPr>
      <t xml:space="preserve">
 •Parking Ratio: 
          ○ Residential: 1 space per residential unit
          ○ Office: 2.5 spaces per 1,000 GSF of office space
          ○ Retail: 3 spaces per 1,000 GSF of retail space
• Parking construction hard costs:
         ○ Below-grade garage: $50,000 per space (350 SF)
         ○ Above-grade garage: $25,000 per space (350 SF)
• Parking construction soft cost: 20% of hard costs
• Parking revenue: $125 per space per month
• Parking occupancy at stabilization: 95%</t>
    </r>
  </si>
  <si>
    <r>
      <rPr>
        <b/>
        <u/>
        <sz val="11"/>
        <color theme="1"/>
        <rFont val="Tw Cen MT"/>
        <family val="2"/>
      </rPr>
      <t xml:space="preserve">Loan Financing </t>
    </r>
    <r>
      <rPr>
        <sz val="11"/>
        <color theme="1"/>
        <rFont val="tw cen mt"/>
        <family val="2"/>
      </rPr>
      <t xml:space="preserve">
• Construction loan assumptions:* 
   ○ 65% of hard and soft costs (land excluded)
   ○ 6.25% interest rate 
   ○ Conversion to permanent loan at stabilization (beginning of Year 5) 
   ○ Upfront loan costs: 1.5% of principal (paid upon receipt of loan proceeds)
 • Permanent loan assumptions (proceeds received at the beginning of Year 5):
   ○ 75% loan to value
   ○ Debt service coverage ratio: 1.2
   ○ Amortization period: 30 years
   ○ Term: 10 years
   ○ Interest rate: 5.25%
   ○ Upfront loan costs: 1.5% of principal (paid upon receipt of loan proceeds)</t>
    </r>
  </si>
  <si>
    <r>
      <t xml:space="preserve">* The construction loan is interest-only. This means that you only pay interest during each period on the cumulative balance drawn. The principal is repaid upon receipt of permanent loan proceeds at the beginning of year 5. It is assumed that the construction loan draws are made every year based on costs incurred and the LTC ratio, in other words </t>
    </r>
    <r>
      <rPr>
        <i/>
        <sz val="11"/>
        <color theme="1"/>
        <rFont val="Tw Cen MT"/>
        <family val="2"/>
      </rPr>
      <t>pari passu</t>
    </r>
    <r>
      <rPr>
        <sz val="11"/>
        <color theme="1"/>
        <rFont val="tw cen mt"/>
        <family val="2"/>
      </rPr>
      <t xml:space="preserve"> with equity. </t>
    </r>
  </si>
  <si>
    <t>Instructions</t>
  </si>
  <si>
    <t>Drawing on precedent templates from Levels 1-3, existing project models and/or new content, create a model to address the questions below.</t>
  </si>
  <si>
    <r>
      <rPr>
        <sz val="11"/>
        <color theme="1"/>
        <rFont val="tw cen mt"/>
        <family val="2"/>
      </rPr>
      <t xml:space="preserve">Compile all assumptions in an assumptions table and link formulas in the cash flows to the assumptions table.  </t>
    </r>
    <r>
      <rPr>
        <b/>
        <sz val="11"/>
        <color theme="1"/>
        <rFont val="Tw Cen MT"/>
        <family val="2"/>
      </rPr>
      <t>Do not include any hard-coding within formulas in the cash flows.</t>
    </r>
  </si>
  <si>
    <r>
      <t xml:space="preserve">Using formulas, </t>
    </r>
    <r>
      <rPr>
        <b/>
        <sz val="11"/>
        <color theme="1"/>
        <rFont val="Tw Cen MT"/>
        <family val="2"/>
      </rPr>
      <t>ensure that revenues and expenses only appear in appropriate years</t>
    </r>
    <r>
      <rPr>
        <sz val="11"/>
        <color theme="1"/>
        <rFont val="tw cen mt"/>
        <family val="2"/>
      </rPr>
      <t>, with revenues and operating expenses shown through Year 9 so as to calculate the future owner's first year of NOI, which should determine property disposition proceeds.</t>
    </r>
  </si>
  <si>
    <t>Meyerson Development Group</t>
  </si>
  <si>
    <t>Real Estate Financial Modeling</t>
  </si>
  <si>
    <t>Project Cash Flows (Unleveraged)</t>
  </si>
  <si>
    <t>Category</t>
  </si>
  <si>
    <t>Total</t>
  </si>
  <si>
    <t>x</t>
  </si>
  <si>
    <t>Development Costs</t>
  </si>
  <si>
    <t>Purchase Price</t>
  </si>
  <si>
    <t>Transaction Costs</t>
  </si>
  <si>
    <t>Riverwalk Contribution</t>
  </si>
  <si>
    <t>Residential Hard Costs</t>
  </si>
  <si>
    <t>Residential Soft Costs</t>
  </si>
  <si>
    <t>Office Hard Costs</t>
  </si>
  <si>
    <t>Office Soft Costs</t>
  </si>
  <si>
    <t>Retail Hard Costs</t>
  </si>
  <si>
    <t>Retail Soft Costs</t>
  </si>
  <si>
    <t>Below-grade parking hard costs</t>
  </si>
  <si>
    <t>Above-grade parking hard costs</t>
  </si>
  <si>
    <t>Parking Soft Costs</t>
  </si>
  <si>
    <t>Net Operating Income (NOI - show through Year 9)</t>
  </si>
  <si>
    <t>Gross Potential Residential Revenues</t>
  </si>
  <si>
    <t>Vacancy/Turnover (Percentage)</t>
  </si>
  <si>
    <t>Less Vacancy/Turnover</t>
  </si>
  <si>
    <t>Gross Potential Office Revenues</t>
  </si>
  <si>
    <t>Gross Potential Retail Revenues</t>
  </si>
  <si>
    <t>Gross Potential Parking Revenues</t>
  </si>
  <si>
    <t>Less Operating Expenses - Property Taxes</t>
  </si>
  <si>
    <t>Less Operating Expenses - Other</t>
  </si>
  <si>
    <t>Total NOI through Disposition (Year 8)</t>
  </si>
  <si>
    <t>NOI at Stabilization</t>
  </si>
  <si>
    <t>Tenant Improvements and Leasing Commissions</t>
  </si>
  <si>
    <t>Office Tenant Improvements (TIs)</t>
  </si>
  <si>
    <t>Office Leasing Commissions (LCs)</t>
  </si>
  <si>
    <t>Retail Tenant Improvements (TIs)</t>
  </si>
  <si>
    <t>Retail Leasing Commissions (LCs)</t>
  </si>
  <si>
    <t>Exit Sale</t>
  </si>
  <si>
    <t>Gross Proceeds</t>
  </si>
  <si>
    <t>Less Cost of Sale</t>
  </si>
  <si>
    <t>Total Project Cash Flows (Unleveraged)</t>
  </si>
  <si>
    <t>Present Value by Year</t>
  </si>
  <si>
    <t>Levered Cash Flows</t>
  </si>
  <si>
    <t>Construction Loan</t>
  </si>
  <si>
    <t>Initial Balance</t>
  </si>
  <si>
    <t>Construction Loan Draw</t>
  </si>
  <si>
    <t>Principal Repayment</t>
  </si>
  <si>
    <t>Final Balance</t>
  </si>
  <si>
    <t>Interest Payment</t>
  </si>
  <si>
    <t>Financing Fees</t>
  </si>
  <si>
    <t>Permanent Loan</t>
  </si>
  <si>
    <t>Permanent Loan Proceeds</t>
  </si>
  <si>
    <t>Initial Principal Balance</t>
  </si>
  <si>
    <t>Debt Service Payment</t>
  </si>
  <si>
    <t>Principal Payment</t>
  </si>
  <si>
    <t>Principal Repayment (Loan Payoff)</t>
  </si>
  <si>
    <t>Final Principal Balance</t>
  </si>
  <si>
    <t>Debt Service at Stabilization</t>
  </si>
  <si>
    <t>Total Project Levered Cash Flows</t>
  </si>
  <si>
    <t>Unlevered Return Metrics</t>
  </si>
  <si>
    <t>Amount</t>
  </si>
  <si>
    <t>Net Present Value (NPV)</t>
  </si>
  <si>
    <t>Return on Cost (Unlevered, use NOI @ stabilzn.)*</t>
  </si>
  <si>
    <t>Internal Rate of Return (IRR)</t>
  </si>
  <si>
    <t>*Include upfront T/Is and L/Cs</t>
  </si>
  <si>
    <t>Levered Return Metrics</t>
  </si>
  <si>
    <t>General Assumptions</t>
  </si>
  <si>
    <t>Assumption</t>
  </si>
  <si>
    <t>Total Lot Square feet</t>
  </si>
  <si>
    <t>Below-ground parking square feet</t>
  </si>
  <si>
    <t>Above-ground parking square feet</t>
  </si>
  <si>
    <t>Maximum Coverage</t>
  </si>
  <si>
    <t>Public Space Bonus</t>
  </si>
  <si>
    <t>*</t>
  </si>
  <si>
    <t>Green Building Bonus</t>
  </si>
  <si>
    <t>Retail Space Bonus</t>
  </si>
  <si>
    <t>Stories</t>
  </si>
  <si>
    <t>Gross Square Feet (GSF)</t>
  </si>
  <si>
    <t>Percent Residential</t>
  </si>
  <si>
    <t>Percent Office</t>
  </si>
  <si>
    <t>Percent Retail</t>
  </si>
  <si>
    <t>100% check</t>
  </si>
  <si>
    <t>Residential GSF</t>
  </si>
  <si>
    <t>Office GSF</t>
  </si>
  <si>
    <t>Retail GSF</t>
  </si>
  <si>
    <t>Residential Percent Rentable</t>
  </si>
  <si>
    <t>Residential Rentable Square Feet (RSF)</t>
  </si>
  <si>
    <t>Average Residential Unit Size</t>
  </si>
  <si>
    <t>Residential Units</t>
  </si>
  <si>
    <t>Office Percent Rentable</t>
  </si>
  <si>
    <t>Office Rentable Square Feet (RSF)</t>
  </si>
  <si>
    <t>Retail Percent Rentable</t>
  </si>
  <si>
    <t>Retail Rentable Square Feet (RSF)</t>
  </si>
  <si>
    <t>Parking Percent Rentable</t>
  </si>
  <si>
    <t>Rentable Square Feet (RSF)</t>
  </si>
  <si>
    <t>Acquisiton Cost</t>
  </si>
  <si>
    <t>Land Acquisition - Transaction Costs</t>
  </si>
  <si>
    <t>Residential Hard Costs per GSF</t>
  </si>
  <si>
    <t>Residential Soft Costs (as percentage of Hard Costs)</t>
  </si>
  <si>
    <t>Office Hard Costs per GSF</t>
  </si>
  <si>
    <t>Office Soft Costs (as percentage of Hard Costs)</t>
  </si>
  <si>
    <t>Retail Hard Costs per GSF</t>
  </si>
  <si>
    <t>Retail Soft Costs (as percentage of Hard Costs)</t>
  </si>
  <si>
    <t>Construction Start (Year)</t>
  </si>
  <si>
    <t>Construction Period (Years)</t>
  </si>
  <si>
    <t>First Year of Operations</t>
  </si>
  <si>
    <t>Office Tenant Improvements (TIs) Upfront per RSF</t>
  </si>
  <si>
    <t>Office Leasing Commissions (LCs) Upfront per RSF</t>
  </si>
  <si>
    <t>Retail Tenant Improvements (TIs) Upfront per RSF</t>
  </si>
  <si>
    <t>Retail Leasing Commissions (LCs) Upfront per RSF</t>
  </si>
  <si>
    <t>Residential Revenues per RSF</t>
  </si>
  <si>
    <t>Annual additional revenue collected (percent)</t>
  </si>
  <si>
    <t>Annual additional revenue collected</t>
  </si>
  <si>
    <t>Total Residential Revenues per RSF</t>
  </si>
  <si>
    <t>Projected Revenue Growth</t>
  </si>
  <si>
    <t>Office Revenues per RSF</t>
  </si>
  <si>
    <t>Retail Revenues per RSF</t>
  </si>
  <si>
    <t>Lease Up Year (Year X)</t>
  </si>
  <si>
    <t>Average Residential Occupancy During Lease-Up Period</t>
  </si>
  <si>
    <t>Average Office Occupancy During Lease-Up Period</t>
  </si>
  <si>
    <t>Average Retail Occupancy During Lease-Up Period</t>
  </si>
  <si>
    <t>Average Parking Occupancy During Lease-Up Period</t>
  </si>
  <si>
    <t>1st Year of Stabilization</t>
  </si>
  <si>
    <t>Stabilized Vacancy/Turnover</t>
  </si>
  <si>
    <t>General Inflation Rate</t>
  </si>
  <si>
    <t>Residential Property Taxes per RSF</t>
  </si>
  <si>
    <t>Residential Other Operating Expenses per RSF</t>
  </si>
  <si>
    <t>Office Property Taxes per RSF</t>
  </si>
  <si>
    <t>Office Other Operating Expenses per RSF</t>
  </si>
  <si>
    <t>Retail Property Taxes per RSF</t>
  </si>
  <si>
    <t>Retail Other Operating Expenses per RSF</t>
  </si>
  <si>
    <t>Exit Year</t>
  </si>
  <si>
    <t>Exit Cap Rate</t>
  </si>
  <si>
    <t>Sale Costs</t>
  </si>
  <si>
    <t>Required Equity Return</t>
  </si>
  <si>
    <t>Parking</t>
  </si>
  <si>
    <t>Parking Spaces</t>
  </si>
  <si>
    <t>Residential (1 per residential unit)</t>
  </si>
  <si>
    <t>Office (2.5 per 1,000 GSF)</t>
  </si>
  <si>
    <t>Retail (3 per 1,000 GSF)</t>
  </si>
  <si>
    <t>Percent below-grade</t>
  </si>
  <si>
    <t>Below-grade spots</t>
  </si>
  <si>
    <t>Square foot per spot</t>
  </si>
  <si>
    <t>Total below-grade parking square footage</t>
  </si>
  <si>
    <t>Percent above-grade</t>
  </si>
  <si>
    <t>Above-grade spots</t>
  </si>
  <si>
    <t>Total above-grade parking square footage</t>
  </si>
  <si>
    <t>Parking Cost</t>
  </si>
  <si>
    <t>Below-grade garage (per space hard cost)</t>
  </si>
  <si>
    <t>Above-grade garage (per space hard cost)</t>
  </si>
  <si>
    <t>Parking Revenue (per space)</t>
  </si>
  <si>
    <t>Parking occupancy at stabilization</t>
  </si>
  <si>
    <t>Financing Assumptions</t>
  </si>
  <si>
    <t>Loan to Cost (Hard &amp; Soft Only)</t>
  </si>
  <si>
    <t>Interest Rate (Apply to initial balance + added principal)</t>
  </si>
  <si>
    <t>Eligible Costs (Hard &amp; Soft) - $$</t>
  </si>
  <si>
    <t>Loan Size</t>
  </si>
  <si>
    <t>Construction Loan Fees</t>
  </si>
  <si>
    <t>Max. Loan to Value (LTV)</t>
  </si>
  <si>
    <t>Min. Debt Service Coverage Ratio (DSCR)</t>
  </si>
  <si>
    <t>Amortization (Years)</t>
  </si>
  <si>
    <t>Term (Year)</t>
  </si>
  <si>
    <t>Interest Rate</t>
  </si>
  <si>
    <t>Permanent Loan Fees</t>
  </si>
  <si>
    <t>Loan Size LTV-based</t>
  </si>
  <si>
    <t>Loan Size DSCR-based</t>
  </si>
  <si>
    <t>Final Loan Size</t>
  </si>
  <si>
    <t>Parking Revenues per RSF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</si>
</sst>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44" formatCode="_(&quot;$&quot;* #,##0.00_);_(&quot;$&quot;* \(#,##0.00\);_(&quot;$&quot;* &quot;-&quot;??_);_(@_)"/>
    <numFmt numFmtId="43" formatCode="_(* #,##0.00_);_(* \(#,##0.00\);_(* &quot;-&quot;??_);_(@_)"/>
    <numFmt numFmtId="164" formatCode="&quot;Year&quot;\ 0"/>
    <numFmt numFmtId="165" formatCode="#,##0\ &quot;SF&quot;"/>
    <numFmt numFmtId="166" formatCode="&quot;$&quot;#,##0"/>
    <numFmt numFmtId="167" formatCode="0.0"/>
    <numFmt numFmtId="168" formatCode="&quot;$&quot;#,##0.00"/>
    <numFmt numFmtId="169" formatCode="_(* #,##0_);_(* \(#,##0\);_(* &quot;-&quot;??_);_(@_)"/>
  </numFmts>
  <fonts count="24">
    <font>
      <sz val="11"/>
      <color theme="1"/>
      <name val="Calibri"/>
      <family val="2"/>
      <scheme val="minor"/>
    </font>
    <font>
      <sz val="11"/>
      <color theme="1"/>
      <name val="tw cen mt"/>
      <family val="2"/>
    </font>
    <font>
      <b/>
      <sz val="12"/>
      <color rgb="FF002060"/>
      <name val="Tw Cen MT"/>
      <family val="2"/>
    </font>
    <font>
      <sz val="12"/>
      <color theme="1"/>
      <name val="Tw Cen MT"/>
      <family val="2"/>
    </font>
    <font>
      <b/>
      <sz val="14"/>
      <color rgb="FF002060"/>
      <name val="Tw Cen MT"/>
      <family val="2"/>
    </font>
    <font>
      <b/>
      <sz val="11"/>
      <color theme="1"/>
      <name val="Tw Cen MT"/>
      <family val="2"/>
    </font>
    <font>
      <i/>
      <sz val="11"/>
      <color theme="1"/>
      <name val="Tw Cen MT"/>
      <family val="2"/>
    </font>
    <font>
      <sz val="2"/>
      <color theme="1"/>
      <name val="Tw Cen MT"/>
      <family val="2"/>
    </font>
    <font>
      <sz val="2"/>
      <color theme="1"/>
      <name val="Calibri"/>
      <family val="2"/>
      <scheme val="minor"/>
    </font>
    <font>
      <sz val="11"/>
      <color theme="4"/>
      <name val="Calibri"/>
      <family val="2"/>
      <scheme val="minor"/>
    </font>
    <font>
      <sz val="2"/>
      <color theme="4"/>
      <name val="Calibri"/>
      <family val="2"/>
      <scheme val="minor"/>
    </font>
    <font>
      <b/>
      <u/>
      <sz val="11"/>
      <color theme="1"/>
      <name val="Tw Cen MT"/>
      <family val="2"/>
    </font>
    <font>
      <b/>
      <u/>
      <sz val="11"/>
      <color theme="1"/>
      <name val="Calibri"/>
      <family val="2"/>
      <scheme val="minor"/>
    </font>
    <font>
      <sz val="11"/>
      <color theme="1"/>
      <name val="Calibri"/>
      <family val="2"/>
      <scheme val="minor"/>
    </font>
    <font>
      <b/>
      <sz val="11"/>
      <color theme="3"/>
      <name val="Tw Cen MT"/>
      <family val="2"/>
    </font>
    <font>
      <sz val="11"/>
      <name val="Tw Cen MT"/>
      <family val="2"/>
    </font>
    <font>
      <b/>
      <sz val="11"/>
      <name val="Tw Cen MT"/>
      <family val="2"/>
    </font>
    <font>
      <i/>
      <sz val="11"/>
      <color theme="1" tint="0.499984740745262"/>
      <name val="Tw Cen MT"/>
      <family val="2"/>
    </font>
    <font>
      <i/>
      <sz val="11"/>
      <color theme="1" tint="0.249977111117893"/>
      <name val="Tw Cen MT"/>
      <family val="2"/>
    </font>
    <font>
      <b/>
      <sz val="2"/>
      <color theme="1"/>
      <name val="Tw Cen MT"/>
      <family val="2"/>
    </font>
    <font>
      <sz val="11"/>
      <color rgb="FF000099"/>
      <name val="Tw Cen MT"/>
      <family val="2"/>
    </font>
    <font>
      <b/>
      <sz val="12"/>
      <color theme="1"/>
      <name val="Tw Cen MT"/>
      <family val="2"/>
    </font>
    <font>
      <sz val="12"/>
      <color rgb="FF000099"/>
      <name val="Tw Cen MT"/>
      <family val="2"/>
    </font>
    <font>
      <sz val="12"/>
      <name val="Tw Cen MT"/>
      <family val="2"/>
    </font>
  </fonts>
  <fills count="6">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79998168889431442"/>
        <bgColor indexed="64"/>
      </patternFill>
    </fill>
  </fills>
  <borders count="4">
    <border>
      <left/>
      <right/>
      <top/>
      <bottom/>
      <diagonal/>
    </border>
    <border>
      <left/>
      <right/>
      <top/>
      <bottom style="thin">
        <color indexed="64"/>
      </bottom>
      <diagonal/>
    </border>
    <border>
      <left/>
      <right/>
      <top style="thin">
        <color auto="1"/>
      </top>
      <bottom style="thin">
        <color auto="1"/>
      </bottom>
      <diagonal/>
    </border>
    <border>
      <left/>
      <right/>
      <top style="dotted">
        <color auto="1"/>
      </top>
      <bottom/>
      <diagonal/>
    </border>
  </borders>
  <cellStyleXfs count="5">
    <xf numFmtId="0" fontId="0" fillId="0" borderId="0"/>
    <xf numFmtId="43"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44" fontId="13" fillId="0" borderId="0" applyFont="0" applyFill="0" applyBorder="0" applyAlignment="0" applyProtection="0"/>
  </cellStyleXfs>
  <cellXfs count="107">
    <xf numFmtId="0" fontId="0" fillId="0" borderId="0" xfId="0"/>
    <xf numFmtId="0" fontId="7" fillId="0" borderId="0" xfId="0" applyFont="1"/>
    <xf numFmtId="0" fontId="2" fillId="0" borderId="0" xfId="0" applyFont="1"/>
    <xf numFmtId="14" fontId="3" fillId="0" borderId="0" xfId="0" applyNumberFormat="1" applyFont="1" applyAlignment="1">
      <alignment horizontal="left"/>
    </xf>
    <xf numFmtId="0" fontId="4" fillId="0" borderId="0" xfId="0" applyFont="1"/>
    <xf numFmtId="0" fontId="5" fillId="0" borderId="2" xfId="0" applyFont="1" applyBorder="1"/>
    <xf numFmtId="0" fontId="7" fillId="0" borderId="0" xfId="0" applyFont="1" applyAlignment="1">
      <alignment horizontal="left" wrapText="1" indent="1"/>
    </xf>
    <xf numFmtId="0" fontId="5" fillId="0" borderId="2" xfId="0" applyFont="1" applyBorder="1" applyAlignment="1">
      <alignment vertical="center"/>
    </xf>
    <xf numFmtId="0" fontId="7" fillId="0" borderId="1" xfId="0" applyFont="1" applyBorder="1" applyAlignment="1">
      <alignment horizontal="left" vertical="center" wrapText="1"/>
    </xf>
    <xf numFmtId="0" fontId="8" fillId="0" borderId="0" xfId="0" applyFont="1"/>
    <xf numFmtId="0" fontId="7" fillId="0" borderId="0" xfId="0" applyFont="1" applyAlignment="1">
      <alignment vertical="center" wrapText="1"/>
    </xf>
    <xf numFmtId="0" fontId="5" fillId="0" borderId="0" xfId="0" applyFont="1" applyAlignment="1">
      <alignment vertical="center" wrapText="1"/>
    </xf>
    <xf numFmtId="0" fontId="1" fillId="0" borderId="0" xfId="0" applyFont="1" applyAlignment="1">
      <alignment horizontal="left" vertical="top" wrapText="1"/>
    </xf>
    <xf numFmtId="0" fontId="9" fillId="0" borderId="0" xfId="0" applyFont="1"/>
    <xf numFmtId="0" fontId="10" fillId="0" borderId="0" xfId="0" applyFont="1"/>
    <xf numFmtId="0" fontId="1" fillId="0" borderId="0" xfId="0" applyFont="1" applyAlignment="1">
      <alignment horizontal="left" vertical="center" wrapText="1"/>
    </xf>
    <xf numFmtId="0" fontId="0" fillId="0" borderId="0" xfId="0" applyAlignment="1">
      <alignment wrapText="1"/>
    </xf>
    <xf numFmtId="0" fontId="1" fillId="0" borderId="0" xfId="0" applyFont="1" applyAlignment="1">
      <alignment vertical="center" wrapText="1"/>
    </xf>
    <xf numFmtId="0" fontId="11" fillId="0" borderId="0" xfId="0" applyFont="1" applyAlignment="1">
      <alignment horizontal="left" vertical="center" wrapText="1"/>
    </xf>
    <xf numFmtId="0" fontId="12" fillId="0" borderId="0" xfId="0" applyFont="1"/>
    <xf numFmtId="0" fontId="1" fillId="0" borderId="0" xfId="0" applyFont="1"/>
    <xf numFmtId="0" fontId="3" fillId="0" borderId="0" xfId="0" applyFont="1"/>
    <xf numFmtId="0" fontId="14" fillId="0" borderId="0" xfId="0" applyFont="1"/>
    <xf numFmtId="0" fontId="5" fillId="0" borderId="2" xfId="0" applyFont="1" applyBorder="1" applyAlignment="1">
      <alignment horizontal="right"/>
    </xf>
    <xf numFmtId="164" fontId="5" fillId="0" borderId="2" xfId="0" applyNumberFormat="1" applyFont="1" applyBorder="1"/>
    <xf numFmtId="0" fontId="5" fillId="0" borderId="0" xfId="0" applyFont="1"/>
    <xf numFmtId="0" fontId="1" fillId="0" borderId="0" xfId="0" applyFont="1" applyAlignment="1">
      <alignment horizontal="left" indent="1"/>
    </xf>
    <xf numFmtId="6" fontId="15" fillId="0" borderId="0" xfId="0" applyNumberFormat="1" applyFont="1"/>
    <xf numFmtId="6" fontId="1" fillId="2" borderId="0" xfId="0" applyNumberFormat="1" applyFont="1" applyFill="1"/>
    <xf numFmtId="0" fontId="5" fillId="0" borderId="3" xfId="0" applyFont="1" applyBorder="1" applyAlignment="1">
      <alignment horizontal="left" indent="1"/>
    </xf>
    <xf numFmtId="6" fontId="16" fillId="0" borderId="3" xfId="0" applyNumberFormat="1" applyFont="1" applyBorder="1"/>
    <xf numFmtId="6" fontId="5" fillId="2" borderId="3" xfId="0" applyNumberFormat="1" applyFont="1" applyFill="1" applyBorder="1"/>
    <xf numFmtId="9" fontId="1" fillId="2" borderId="0" xfId="3" applyFont="1" applyFill="1"/>
    <xf numFmtId="0" fontId="1" fillId="0" borderId="3" xfId="0" applyFont="1" applyBorder="1" applyAlignment="1">
      <alignment horizontal="left" indent="1"/>
    </xf>
    <xf numFmtId="6" fontId="15" fillId="0" borderId="3" xfId="0" applyNumberFormat="1" applyFont="1" applyBorder="1"/>
    <xf numFmtId="6" fontId="1" fillId="0" borderId="3" xfId="0" applyNumberFormat="1" applyFont="1" applyBorder="1"/>
    <xf numFmtId="0" fontId="5" fillId="0" borderId="0" xfId="0" applyFont="1" applyAlignment="1">
      <alignment horizontal="left" indent="1"/>
    </xf>
    <xf numFmtId="6" fontId="16" fillId="0" borderId="0" xfId="0" applyNumberFormat="1" applyFont="1"/>
    <xf numFmtId="6" fontId="5" fillId="0" borderId="0" xfId="0" applyNumberFormat="1" applyFont="1"/>
    <xf numFmtId="0" fontId="17" fillId="0" borderId="0" xfId="0" applyFont="1"/>
    <xf numFmtId="0" fontId="17" fillId="0" borderId="0" xfId="0" applyFont="1" applyAlignment="1">
      <alignment horizontal="left" indent="1"/>
    </xf>
    <xf numFmtId="6" fontId="17" fillId="0" borderId="0" xfId="0" applyNumberFormat="1" applyFont="1"/>
    <xf numFmtId="6" fontId="5" fillId="0" borderId="3" xfId="0" applyNumberFormat="1" applyFont="1" applyBorder="1"/>
    <xf numFmtId="0" fontId="7" fillId="0" borderId="1" xfId="0" applyFont="1" applyBorder="1"/>
    <xf numFmtId="6" fontId="16" fillId="0" borderId="2" xfId="0" applyNumberFormat="1" applyFont="1" applyBorder="1"/>
    <xf numFmtId="6" fontId="15" fillId="0" borderId="2" xfId="0" applyNumberFormat="1" applyFont="1" applyBorder="1"/>
    <xf numFmtId="6" fontId="5" fillId="0" borderId="2" xfId="0" applyNumberFormat="1" applyFont="1" applyBorder="1"/>
    <xf numFmtId="0" fontId="18" fillId="0" borderId="2" xfId="0" applyFont="1" applyBorder="1" applyAlignment="1">
      <alignment horizontal="left"/>
    </xf>
    <xf numFmtId="6" fontId="18" fillId="0" borderId="2" xfId="0" applyNumberFormat="1" applyFont="1" applyBorder="1"/>
    <xf numFmtId="0" fontId="6" fillId="0" borderId="0" xfId="0" applyFont="1"/>
    <xf numFmtId="6" fontId="1" fillId="0" borderId="3" xfId="3" applyNumberFormat="1" applyFont="1" applyFill="1" applyBorder="1"/>
    <xf numFmtId="6" fontId="1" fillId="2" borderId="0" xfId="3" applyNumberFormat="1" applyFont="1" applyFill="1"/>
    <xf numFmtId="6" fontId="1" fillId="3" borderId="0" xfId="0" applyNumberFormat="1" applyFont="1" applyFill="1"/>
    <xf numFmtId="6" fontId="1" fillId="3" borderId="0" xfId="3" applyNumberFormat="1" applyFont="1" applyFill="1"/>
    <xf numFmtId="6" fontId="1" fillId="0" borderId="0" xfId="0" applyNumberFormat="1" applyFont="1"/>
    <xf numFmtId="0" fontId="5" fillId="0" borderId="0" xfId="0" applyFont="1" applyAlignment="1">
      <alignment horizontal="right"/>
    </xf>
    <xf numFmtId="6" fontId="5" fillId="2" borderId="0" xfId="0" applyNumberFormat="1" applyFont="1" applyFill="1"/>
    <xf numFmtId="9" fontId="1" fillId="0" borderId="0" xfId="3" applyFont="1"/>
    <xf numFmtId="9" fontId="5" fillId="0" borderId="0" xfId="3" applyFont="1" applyFill="1"/>
    <xf numFmtId="0" fontId="1" fillId="0" borderId="1" xfId="0" applyFont="1" applyBorder="1"/>
    <xf numFmtId="9" fontId="5" fillId="2" borderId="0" xfId="3" applyFont="1" applyFill="1"/>
    <xf numFmtId="9" fontId="5" fillId="0" borderId="0" xfId="0" applyNumberFormat="1" applyFont="1"/>
    <xf numFmtId="9" fontId="5" fillId="2" borderId="1" xfId="0" applyNumberFormat="1" applyFont="1" applyFill="1" applyBorder="1"/>
    <xf numFmtId="0" fontId="19" fillId="0" borderId="0" xfId="0" applyFont="1"/>
    <xf numFmtId="165" fontId="20" fillId="4" borderId="0" xfId="0" applyNumberFormat="1" applyFont="1" applyFill="1"/>
    <xf numFmtId="165" fontId="20" fillId="0" borderId="0" xfId="0" applyNumberFormat="1" applyFont="1"/>
    <xf numFmtId="10" fontId="20" fillId="4" borderId="0" xfId="0" applyNumberFormat="1" applyFont="1" applyFill="1"/>
    <xf numFmtId="10" fontId="20" fillId="0" borderId="0" xfId="0" applyNumberFormat="1" applyFont="1"/>
    <xf numFmtId="165" fontId="15" fillId="2" borderId="0" xfId="0" applyNumberFormat="1" applyFont="1" applyFill="1"/>
    <xf numFmtId="165" fontId="15" fillId="0" borderId="0" xfId="0" applyNumberFormat="1" applyFont="1"/>
    <xf numFmtId="166" fontId="20" fillId="4" borderId="0" xfId="0" applyNumberFormat="1" applyFont="1" applyFill="1"/>
    <xf numFmtId="166" fontId="20" fillId="0" borderId="0" xfId="0" applyNumberFormat="1" applyFont="1"/>
    <xf numFmtId="166" fontId="1" fillId="0" borderId="0" xfId="0" applyNumberFormat="1" applyFont="1"/>
    <xf numFmtId="167" fontId="20" fillId="4" borderId="0" xfId="0" applyNumberFormat="1" applyFont="1" applyFill="1"/>
    <xf numFmtId="167" fontId="20" fillId="0" borderId="0" xfId="0" applyNumberFormat="1" applyFont="1"/>
    <xf numFmtId="167" fontId="15" fillId="2" borderId="0" xfId="0" applyNumberFormat="1" applyFont="1" applyFill="1"/>
    <xf numFmtId="168" fontId="20" fillId="4" borderId="0" xfId="0" applyNumberFormat="1" applyFont="1" applyFill="1"/>
    <xf numFmtId="168" fontId="20" fillId="0" borderId="0" xfId="0" applyNumberFormat="1" applyFont="1"/>
    <xf numFmtId="167" fontId="15" fillId="0" borderId="0" xfId="0" applyNumberFormat="1" applyFont="1"/>
    <xf numFmtId="0" fontId="20" fillId="0" borderId="0" xfId="0" applyFont="1"/>
    <xf numFmtId="0" fontId="19" fillId="0" borderId="0" xfId="0" applyFont="1" applyAlignment="1">
      <alignment horizontal="right"/>
    </xf>
    <xf numFmtId="6" fontId="7" fillId="0" borderId="0" xfId="0" applyNumberFormat="1" applyFont="1"/>
    <xf numFmtId="2" fontId="20" fillId="4" borderId="0" xfId="0" applyNumberFormat="1" applyFont="1" applyFill="1"/>
    <xf numFmtId="9" fontId="20" fillId="4" borderId="0" xfId="2" applyFont="1" applyFill="1"/>
    <xf numFmtId="43" fontId="20" fillId="4" borderId="0" xfId="1" applyFont="1" applyFill="1"/>
    <xf numFmtId="44" fontId="20" fillId="4" borderId="0" xfId="4" applyFont="1" applyFill="1"/>
    <xf numFmtId="165" fontId="15" fillId="2" borderId="0" xfId="0" applyNumberFormat="1" applyFont="1" applyFill="1" applyAlignment="1">
      <alignment horizontal="right"/>
    </xf>
    <xf numFmtId="168" fontId="1" fillId="0" borderId="0" xfId="0" applyNumberFormat="1" applyFont="1"/>
    <xf numFmtId="165" fontId="15" fillId="0" borderId="0" xfId="0" applyNumberFormat="1" applyFont="1" applyAlignment="1">
      <alignment horizontal="right"/>
    </xf>
    <xf numFmtId="169" fontId="15" fillId="2" borderId="0" xfId="1" applyNumberFormat="1" applyFont="1" applyFill="1"/>
    <xf numFmtId="169" fontId="20" fillId="4" borderId="0" xfId="1" applyNumberFormat="1" applyFont="1" applyFill="1"/>
    <xf numFmtId="165" fontId="15" fillId="5" borderId="0" xfId="0" applyNumberFormat="1" applyFont="1" applyFill="1" applyAlignment="1">
      <alignment horizontal="right"/>
    </xf>
    <xf numFmtId="168" fontId="20" fillId="5" borderId="0" xfId="0" applyNumberFormat="1" applyFont="1" applyFill="1"/>
    <xf numFmtId="169" fontId="20" fillId="5" borderId="0" xfId="1" applyNumberFormat="1" applyFont="1" applyFill="1"/>
    <xf numFmtId="165" fontId="20" fillId="5" borderId="0" xfId="0" applyNumberFormat="1" applyFont="1" applyFill="1"/>
    <xf numFmtId="0" fontId="21" fillId="0" borderId="0" xfId="0" applyFont="1"/>
    <xf numFmtId="165" fontId="22" fillId="0" borderId="0" xfId="0" applyNumberFormat="1" applyFont="1"/>
    <xf numFmtId="10" fontId="22" fillId="0" borderId="0" xfId="0" applyNumberFormat="1" applyFont="1"/>
    <xf numFmtId="165" fontId="23" fillId="0" borderId="0" xfId="0" applyNumberFormat="1" applyFont="1"/>
    <xf numFmtId="166" fontId="22" fillId="0" borderId="0" xfId="0" applyNumberFormat="1" applyFont="1"/>
    <xf numFmtId="167" fontId="22" fillId="0" borderId="0" xfId="0" applyNumberFormat="1" applyFont="1"/>
    <xf numFmtId="168" fontId="22" fillId="0" borderId="0" xfId="0" applyNumberFormat="1" applyFont="1"/>
    <xf numFmtId="167" fontId="23" fillId="0" borderId="0" xfId="0" applyNumberFormat="1" applyFont="1"/>
    <xf numFmtId="0" fontId="22" fillId="0" borderId="0" xfId="0" applyFont="1"/>
    <xf numFmtId="0" fontId="21" fillId="0" borderId="0" xfId="0" applyFont="1" applyAlignment="1">
      <alignment horizontal="right"/>
    </xf>
    <xf numFmtId="0" fontId="1" fillId="0" borderId="0" xfId="0" applyFont="1" applyAlignment="1">
      <alignment wrapText="1"/>
    </xf>
    <xf numFmtId="0" fontId="1" fillId="0" borderId="0" xfId="0" applyFont="1" applyAlignment="1">
      <alignment vertical="center"/>
    </xf>
  </cellXfs>
  <cellStyles count="5">
    <cellStyle name="Comma" xfId="1" builtinId="3"/>
    <cellStyle name="Currency" xfId="4" builtinId="4"/>
    <cellStyle name="Normal" xfId="0" builtinId="0"/>
    <cellStyle name="Percent" xfId="2" builtinId="5"/>
    <cellStyle name="Percent 2" xfId="3" xr:uid="{4E7766D8-093F-9440-BA67-5623B68C01B2}"/>
  </cellStyles>
  <dxfs count="0"/>
  <tableStyles count="0" defaultTableStyle="TableStyleMedium2" defaultPivotStyle="PivotStyleLight16"/>
  <colors>
    <mruColors>
      <color rgb="FFFBFBFB"/>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294147</xdr:colOff>
      <xdr:row>8</xdr:row>
      <xdr:rowOff>126965</xdr:rowOff>
    </xdr:to>
    <xdr:sp macro="" textlink="">
      <xdr:nvSpPr>
        <xdr:cNvPr id="2" name="EsriDoNotEdit">
          <a:extLst>
            <a:ext uri="{FF2B5EF4-FFF2-40B4-BE49-F238E27FC236}">
              <a16:creationId xmlns:a16="http://schemas.microsoft.com/office/drawing/2014/main" id="{404240F3-A76A-42B4-BFBE-51DDEF2AFEFC}"/>
            </a:ext>
          </a:extLst>
        </xdr:cNvPr>
        <xdr:cNvSpPr/>
      </xdr:nvSpPr>
      <xdr:spPr>
        <a:xfrm>
          <a:off x="0" y="0"/>
          <a:ext cx="6390147" cy="1650965"/>
        </a:xfrm>
        <a:prstGeom prst="rect">
          <a:avLst/>
        </a:prstGeom>
        <a:noFill/>
      </xdr:spPr>
      <xdr:txBody>
        <a:bodyPr wrap="none" lIns="91440" tIns="45720" rIns="91440" bIns="45720">
          <a:spAutoFit/>
        </a:bodyPr>
        <a:lstStyle/>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DO NOT EDIT </a:t>
          </a:r>
        </a:p>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 For Esri use only</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hraadvisors-my.sharepoint.com/Users/imontojo/Downloads/Constant%20Amortization%20Mortgage%20Calculation%20Exercis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 Mort. Calc. Monthly"/>
      <sheetName val="CA Mort. Calc. Quarterly"/>
      <sheetName val="CA Mort. Calc. Semi-annually"/>
      <sheetName val="CA Mort. Calc. Yearly (30 Yrs)"/>
      <sheetName val="Sheet1"/>
      <sheetName val="CA Mort. Calc. Yearly (10 Yrs)"/>
    </sheetNames>
    <sheetDataSet>
      <sheetData sheetId="0" refreshError="1"/>
      <sheetData sheetId="1" refreshError="1"/>
      <sheetData sheetId="2" refreshError="1"/>
      <sheetData sheetId="3" refreshError="1"/>
      <sheetData sheetId="4"/>
      <sheetData sheetId="5" refreshError="1"/>
    </sheetDataSet>
  </externalBook>
</externalLink>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E35"/>
  <sheetViews>
    <sheetView workbookViewId="0"/>
  </sheetViews>
  <sheetFormatPr defaultColWidth="9.140625" defaultRowHeight="15" customHeight="1"/>
  <cols>
    <col min="1" max="1" width="2.140625" customWidth="1"/>
    <col min="2" max="2" width="112.85546875" customWidth="1"/>
    <col min="3" max="3" width="28.85546875" customWidth="1"/>
    <col min="4" max="4" width="9.140625" customWidth="1"/>
    <col min="5" max="5" width="31.42578125" customWidth="1"/>
    <col min="6" max="22" width="9.140625" customWidth="1"/>
  </cols>
  <sheetData>
    <row r="1" spans="1:3">
      <c r="A1" s="20"/>
      <c r="B1" s="20"/>
    </row>
    <row r="2" spans="1:3" ht="15.95">
      <c r="A2" s="20"/>
      <c r="B2" s="2" t="s">
        <v>0</v>
      </c>
      <c r="C2" s="19"/>
    </row>
    <row r="3" spans="1:3" ht="15.95">
      <c r="A3" s="20"/>
      <c r="B3" s="3">
        <f ca="1">TODAY()</f>
        <v>45335</v>
      </c>
    </row>
    <row r="4" spans="1:3">
      <c r="A4" s="20"/>
    </row>
    <row r="5" spans="1:3">
      <c r="A5" s="20"/>
      <c r="B5" s="20"/>
    </row>
    <row r="6" spans="1:3" ht="18">
      <c r="A6" s="20"/>
      <c r="B6" s="4" t="s">
        <v>1</v>
      </c>
    </row>
    <row r="7" spans="1:3">
      <c r="A7" s="20"/>
      <c r="B7" s="20"/>
    </row>
    <row r="8" spans="1:3">
      <c r="A8" s="20"/>
      <c r="B8" s="5" t="s">
        <v>2</v>
      </c>
      <c r="C8" s="13"/>
    </row>
    <row r="9" spans="1:3" s="9" customFormat="1" ht="6.95">
      <c r="A9" s="1"/>
      <c r="B9" s="6"/>
      <c r="C9" s="14"/>
    </row>
    <row r="10" spans="1:3" ht="47.45" customHeight="1">
      <c r="A10" s="105"/>
      <c r="B10" s="12" t="s">
        <v>3</v>
      </c>
      <c r="C10" s="13"/>
    </row>
    <row r="11" spans="1:3" s="9" customFormat="1" ht="6.95">
      <c r="A11" s="1"/>
      <c r="B11" s="6"/>
      <c r="C11" s="14"/>
    </row>
    <row r="12" spans="1:3" ht="282.95" customHeight="1">
      <c r="A12" s="105"/>
      <c r="B12" s="12" t="s">
        <v>4</v>
      </c>
      <c r="C12" s="13"/>
    </row>
    <row r="13" spans="1:3" s="9" customFormat="1" ht="6.95">
      <c r="A13" s="1"/>
      <c r="B13" s="6"/>
      <c r="C13" s="14"/>
    </row>
    <row r="14" spans="1:3" s="9" customFormat="1" ht="36.950000000000003" customHeight="1">
      <c r="A14" s="1"/>
      <c r="B14" s="12" t="s">
        <v>5</v>
      </c>
      <c r="C14" s="14"/>
    </row>
    <row r="15" spans="1:3" s="9" customFormat="1" ht="144.6" customHeight="1">
      <c r="A15" s="1"/>
      <c r="B15" s="12" t="s">
        <v>6</v>
      </c>
      <c r="C15" s="14"/>
    </row>
    <row r="16" spans="1:3" ht="248.1" customHeight="1">
      <c r="A16" s="105"/>
      <c r="B16" s="12" t="s">
        <v>7</v>
      </c>
      <c r="C16" s="13"/>
    </row>
    <row r="17" spans="1:5" s="9" customFormat="1" ht="15" customHeight="1">
      <c r="A17" s="1"/>
      <c r="B17" s="6"/>
      <c r="C17" s="14"/>
    </row>
    <row r="18" spans="1:5" s="9" customFormat="1" ht="20.100000000000001" customHeight="1">
      <c r="A18" s="1"/>
      <c r="B18" s="18" t="s">
        <v>8</v>
      </c>
      <c r="C18" s="14"/>
    </row>
    <row r="19" spans="1:5" ht="384.95" customHeight="1">
      <c r="A19" s="105"/>
      <c r="B19" s="12" t="s">
        <v>9</v>
      </c>
      <c r="C19" s="13"/>
      <c r="D19" s="16"/>
      <c r="E19" s="16"/>
    </row>
    <row r="20" spans="1:5" ht="405.95" customHeight="1">
      <c r="A20" s="105"/>
      <c r="B20" s="12" t="s">
        <v>10</v>
      </c>
      <c r="C20" s="13"/>
      <c r="D20" s="16"/>
      <c r="E20" s="16"/>
    </row>
    <row r="21" spans="1:5" ht="213.95" customHeight="1">
      <c r="A21" s="105"/>
      <c r="B21" s="12" t="s">
        <v>11</v>
      </c>
      <c r="C21" s="13"/>
      <c r="D21" s="16"/>
      <c r="E21" s="16"/>
    </row>
    <row r="22" spans="1:5" ht="191.45" customHeight="1">
      <c r="A22" s="20"/>
      <c r="B22" s="17" t="s">
        <v>12</v>
      </c>
      <c r="C22" s="13"/>
    </row>
    <row r="23" spans="1:5" s="9" customFormat="1" ht="6.95">
      <c r="A23" s="1"/>
      <c r="B23" s="10"/>
      <c r="C23" s="14"/>
    </row>
    <row r="24" spans="1:5" ht="48">
      <c r="A24" s="20"/>
      <c r="B24" s="17" t="s">
        <v>13</v>
      </c>
      <c r="C24" s="13"/>
    </row>
    <row r="25" spans="1:5" s="9" customFormat="1" ht="6.95">
      <c r="A25" s="1"/>
      <c r="B25" s="10"/>
      <c r="C25" s="14"/>
    </row>
    <row r="26" spans="1:5">
      <c r="A26" s="20"/>
      <c r="B26" s="7" t="s">
        <v>14</v>
      </c>
      <c r="C26" s="13"/>
    </row>
    <row r="27" spans="1:5" s="9" customFormat="1" ht="6.95">
      <c r="A27" s="1"/>
      <c r="B27" s="6"/>
      <c r="C27" s="14"/>
    </row>
    <row r="28" spans="1:5" ht="15.95">
      <c r="A28" s="105"/>
      <c r="B28" s="15" t="s">
        <v>15</v>
      </c>
      <c r="C28" s="13"/>
    </row>
    <row r="29" spans="1:5" s="9" customFormat="1" ht="6.95">
      <c r="A29" s="1"/>
      <c r="B29" s="10"/>
      <c r="C29" s="14"/>
    </row>
    <row r="30" spans="1:5" ht="32.1">
      <c r="A30" s="20"/>
      <c r="B30" s="11" t="s">
        <v>16</v>
      </c>
      <c r="C30" s="13"/>
    </row>
    <row r="31" spans="1:5" s="9" customFormat="1" ht="6.95">
      <c r="A31" s="1"/>
      <c r="B31" s="10"/>
      <c r="C31" s="14"/>
    </row>
    <row r="32" spans="1:5" ht="44.25" customHeight="1">
      <c r="A32" s="20"/>
      <c r="B32" s="15" t="s">
        <v>17</v>
      </c>
      <c r="C32" s="13"/>
    </row>
    <row r="33" spans="1:3" s="9" customFormat="1" ht="6.95">
      <c r="A33" s="1"/>
      <c r="B33" s="10"/>
      <c r="C33" s="14"/>
    </row>
    <row r="34" spans="1:3" s="9" customFormat="1" ht="6.95">
      <c r="A34" s="1"/>
      <c r="B34" s="8"/>
      <c r="C34" s="14"/>
    </row>
    <row r="35" spans="1:3">
      <c r="A35" s="20"/>
      <c r="B35" s="106"/>
    </row>
  </sheetData>
  <pageMargins left="0.7" right="0.7" top="0.75" bottom="0.75" header="0.3" footer="0.3"/>
  <pageSetup scale="7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B0D1B-3A63-6142-B37E-1D12A0A47833}">
  <sheetPr codeName="Sheet6">
    <pageSetUpPr fitToPage="1"/>
  </sheetPr>
  <dimension ref="A2:XFD268"/>
  <sheetViews>
    <sheetView topLeftCell="A112" workbookViewId="0">
      <selection activeCell="B3" sqref="B3"/>
    </sheetView>
  </sheetViews>
  <sheetFormatPr defaultColWidth="9.140625" defaultRowHeight="15"/>
  <cols>
    <col min="1" max="1" width="2.140625" style="20" customWidth="1"/>
    <col min="2" max="2" width="52.85546875" style="20" customWidth="1"/>
    <col min="3" max="3" width="14.7109375" style="20" customWidth="1"/>
    <col min="4" max="4" width="2.7109375" style="20" customWidth="1"/>
    <col min="5" max="14" width="14.7109375" style="20" customWidth="1"/>
    <col min="15" max="16384" width="9.140625" style="20"/>
  </cols>
  <sheetData>
    <row r="2" spans="1:15 16384:16384" ht="15.95">
      <c r="B2" s="2" t="s">
        <v>18</v>
      </c>
      <c r="C2" s="2"/>
      <c r="D2" s="2"/>
      <c r="E2" s="2"/>
    </row>
    <row r="3" spans="1:15 16384:16384" ht="15.95">
      <c r="B3" s="21" t="s">
        <v>19</v>
      </c>
      <c r="C3" s="21"/>
      <c r="D3" s="21"/>
      <c r="E3" s="21"/>
    </row>
    <row r="4" spans="1:15 16384:16384" ht="15.95">
      <c r="B4" s="3">
        <f ca="1">TODAY()</f>
        <v>45335</v>
      </c>
      <c r="C4" s="3"/>
      <c r="D4" s="3"/>
      <c r="E4" s="3"/>
    </row>
    <row r="6" spans="1:15 16384:16384" ht="18">
      <c r="B6" s="4" t="e">
        <f ca="1">MID(CELL("filename",A1),FIND("]",CELL("filename",A1))+1,255)</f>
        <v>#VALUE!</v>
      </c>
      <c r="C6" s="4"/>
      <c r="D6" s="4"/>
      <c r="E6" s="4"/>
    </row>
    <row r="8" spans="1:15 16384:16384">
      <c r="B8" s="22" t="s">
        <v>20</v>
      </c>
    </row>
    <row r="9" spans="1:15 16384:16384">
      <c r="B9" s="5" t="s">
        <v>21</v>
      </c>
      <c r="C9" s="23" t="s">
        <v>22</v>
      </c>
      <c r="D9" s="23"/>
      <c r="E9" s="24">
        <v>1</v>
      </c>
      <c r="F9" s="24">
        <f>E9+1</f>
        <v>2</v>
      </c>
      <c r="G9" s="24">
        <f t="shared" ref="G9:N9" si="0">F9+1</f>
        <v>3</v>
      </c>
      <c r="H9" s="24">
        <f t="shared" si="0"/>
        <v>4</v>
      </c>
      <c r="I9" s="24">
        <f t="shared" si="0"/>
        <v>5</v>
      </c>
      <c r="J9" s="24">
        <f t="shared" si="0"/>
        <v>6</v>
      </c>
      <c r="K9" s="24">
        <f t="shared" si="0"/>
        <v>7</v>
      </c>
      <c r="L9" s="24">
        <f t="shared" si="0"/>
        <v>8</v>
      </c>
      <c r="M9" s="24">
        <f t="shared" si="0"/>
        <v>9</v>
      </c>
      <c r="N9" s="24">
        <f t="shared" si="0"/>
        <v>10</v>
      </c>
      <c r="O9" s="20" t="s">
        <v>23</v>
      </c>
    </row>
    <row r="10" spans="1:15 16384:16384" s="1" customFormat="1" ht="15" customHeight="1">
      <c r="E10" s="21"/>
      <c r="F10" s="21">
        <v>1</v>
      </c>
      <c r="G10" s="21">
        <v>2</v>
      </c>
      <c r="H10" s="21">
        <v>3</v>
      </c>
      <c r="I10" s="21">
        <v>4</v>
      </c>
      <c r="J10" s="21">
        <v>5</v>
      </c>
      <c r="K10" s="21">
        <v>6</v>
      </c>
      <c r="L10" s="21">
        <v>7</v>
      </c>
      <c r="M10" s="21">
        <v>8</v>
      </c>
      <c r="N10" s="21">
        <v>9</v>
      </c>
      <c r="O10" s="1" t="s">
        <v>23</v>
      </c>
    </row>
    <row r="11" spans="1:15 16384:16384">
      <c r="A11" s="1"/>
      <c r="B11" s="25" t="s">
        <v>24</v>
      </c>
      <c r="C11" s="25"/>
      <c r="D11" s="25"/>
      <c r="O11" s="20" t="s">
        <v>23</v>
      </c>
    </row>
    <row r="12" spans="1:15 16384:16384">
      <c r="B12" s="26" t="s">
        <v>25</v>
      </c>
      <c r="C12" s="27">
        <f>SUM(E12:N12)</f>
        <v>-10000000</v>
      </c>
      <c r="D12" s="27"/>
      <c r="E12" s="28">
        <f>-$C$148</f>
        <v>-10000000</v>
      </c>
      <c r="F12" s="28"/>
      <c r="G12" s="28"/>
      <c r="H12" s="28"/>
      <c r="I12" s="28"/>
      <c r="J12" s="28"/>
      <c r="K12" s="28"/>
      <c r="L12" s="28"/>
      <c r="M12" s="28"/>
      <c r="N12" s="28"/>
      <c r="O12" s="20" t="s">
        <v>23</v>
      </c>
    </row>
    <row r="13" spans="1:15 16384:16384">
      <c r="A13" s="1"/>
      <c r="B13" s="26" t="s">
        <v>26</v>
      </c>
      <c r="C13" s="27">
        <f>SUM(E13:N13)</f>
        <v>-500000</v>
      </c>
      <c r="D13" s="27"/>
      <c r="E13" s="28">
        <f>$C$149*E12</f>
        <v>-500000</v>
      </c>
      <c r="F13" s="28"/>
      <c r="G13" s="28"/>
      <c r="H13" s="28"/>
      <c r="I13" s="28"/>
      <c r="J13" s="28"/>
      <c r="K13" s="28"/>
      <c r="L13" s="28"/>
      <c r="M13" s="28"/>
      <c r="N13" s="28"/>
      <c r="O13" s="20" t="s">
        <v>23</v>
      </c>
      <c r="XFD13" s="20">
        <f>SUM(A13:XFC13)</f>
        <v>-1000000</v>
      </c>
    </row>
    <row r="14" spans="1:15 16384:16384">
      <c r="A14" s="1"/>
      <c r="B14" s="26" t="s">
        <v>27</v>
      </c>
      <c r="C14" s="27">
        <f>SUM(E14:N14)</f>
        <v>-4000000</v>
      </c>
      <c r="D14" s="27"/>
      <c r="E14" s="28">
        <f>-C150</f>
        <v>-4000000</v>
      </c>
      <c r="F14" s="28"/>
      <c r="G14" s="28"/>
      <c r="H14" s="28"/>
      <c r="I14" s="28"/>
      <c r="J14" s="28"/>
      <c r="K14" s="28"/>
      <c r="L14" s="28"/>
      <c r="M14" s="28"/>
      <c r="N14" s="28"/>
    </row>
    <row r="15" spans="1:15 16384:16384" ht="5.0999999999999996" customHeight="1">
      <c r="A15" s="1"/>
      <c r="B15" s="26"/>
      <c r="C15" s="27"/>
      <c r="D15" s="27"/>
      <c r="E15" s="54"/>
      <c r="F15" s="54"/>
      <c r="G15" s="54"/>
      <c r="H15" s="54"/>
      <c r="I15" s="54"/>
      <c r="J15" s="54"/>
      <c r="K15" s="54"/>
      <c r="L15" s="54"/>
      <c r="M15" s="54"/>
      <c r="N15" s="54"/>
    </row>
    <row r="16" spans="1:15 16384:16384">
      <c r="A16" s="1"/>
      <c r="B16" s="26" t="s">
        <v>28</v>
      </c>
      <c r="C16" s="27"/>
      <c r="D16" s="27"/>
      <c r="E16" s="28">
        <f t="shared" ref="E16:N16" si="1">-IF(OR($C$158=E$9,$C$158=E$9-1),$C$152*(1/$C$159)*$C$132,0)</f>
        <v>0</v>
      </c>
      <c r="F16" s="28">
        <f t="shared" si="1"/>
        <v>-124644544.00000001</v>
      </c>
      <c r="G16" s="28">
        <f t="shared" si="1"/>
        <v>-124644544.00000001</v>
      </c>
      <c r="H16" s="28">
        <f t="shared" si="1"/>
        <v>0</v>
      </c>
      <c r="I16" s="28">
        <f t="shared" si="1"/>
        <v>0</v>
      </c>
      <c r="J16" s="28">
        <f t="shared" si="1"/>
        <v>0</v>
      </c>
      <c r="K16" s="28">
        <f t="shared" si="1"/>
        <v>0</v>
      </c>
      <c r="L16" s="28">
        <f t="shared" si="1"/>
        <v>0</v>
      </c>
      <c r="M16" s="28">
        <f t="shared" si="1"/>
        <v>0</v>
      </c>
      <c r="N16" s="28">
        <f t="shared" si="1"/>
        <v>0</v>
      </c>
      <c r="O16" s="20" t="s">
        <v>23</v>
      </c>
    </row>
    <row r="17" spans="1:15">
      <c r="A17" s="1"/>
      <c r="B17" s="26" t="s">
        <v>29</v>
      </c>
      <c r="C17" s="27"/>
      <c r="D17" s="27"/>
      <c r="E17" s="28">
        <f>$C$153*E16</f>
        <v>0</v>
      </c>
      <c r="F17" s="28">
        <f t="shared" ref="F17:N17" si="2">$C$153*F16</f>
        <v>-24928908.800000004</v>
      </c>
      <c r="G17" s="28">
        <f t="shared" si="2"/>
        <v>-24928908.800000004</v>
      </c>
      <c r="H17" s="28">
        <f t="shared" si="2"/>
        <v>0</v>
      </c>
      <c r="I17" s="28">
        <f t="shared" si="2"/>
        <v>0</v>
      </c>
      <c r="J17" s="28">
        <f t="shared" si="2"/>
        <v>0</v>
      </c>
      <c r="K17" s="28">
        <f t="shared" si="2"/>
        <v>0</v>
      </c>
      <c r="L17" s="28">
        <f t="shared" si="2"/>
        <v>0</v>
      </c>
      <c r="M17" s="28">
        <f t="shared" si="2"/>
        <v>0</v>
      </c>
      <c r="N17" s="28">
        <f t="shared" si="2"/>
        <v>0</v>
      </c>
      <c r="O17" s="20" t="s">
        <v>23</v>
      </c>
    </row>
    <row r="18" spans="1:15" ht="5.0999999999999996" customHeight="1">
      <c r="A18" s="1"/>
      <c r="B18" s="26"/>
      <c r="C18" s="27"/>
      <c r="D18" s="27"/>
      <c r="E18" s="54"/>
      <c r="F18" s="54"/>
      <c r="G18" s="54"/>
      <c r="H18" s="54"/>
      <c r="I18" s="54"/>
      <c r="J18" s="54"/>
      <c r="K18" s="54"/>
      <c r="L18" s="54"/>
      <c r="M18" s="54"/>
      <c r="N18" s="54"/>
    </row>
    <row r="19" spans="1:15">
      <c r="A19" s="1"/>
      <c r="B19" s="26" t="s">
        <v>30</v>
      </c>
      <c r="C19" s="27"/>
      <c r="D19" s="27"/>
      <c r="E19" s="28">
        <f t="shared" ref="E19:N19" si="3">-IF(OR($C$158=E$9,$C$158=E$9-1),$C$154*(1/$C$159)*$C$133,0)</f>
        <v>0</v>
      </c>
      <c r="F19" s="28">
        <f t="shared" si="3"/>
        <v>0</v>
      </c>
      <c r="G19" s="28">
        <f t="shared" si="3"/>
        <v>0</v>
      </c>
      <c r="H19" s="28">
        <f t="shared" si="3"/>
        <v>0</v>
      </c>
      <c r="I19" s="28">
        <f t="shared" si="3"/>
        <v>0</v>
      </c>
      <c r="J19" s="28">
        <f t="shared" si="3"/>
        <v>0</v>
      </c>
      <c r="K19" s="28">
        <f t="shared" si="3"/>
        <v>0</v>
      </c>
      <c r="L19" s="28">
        <f t="shared" si="3"/>
        <v>0</v>
      </c>
      <c r="M19" s="28">
        <f t="shared" si="3"/>
        <v>0</v>
      </c>
      <c r="N19" s="28">
        <f t="shared" si="3"/>
        <v>0</v>
      </c>
      <c r="O19" s="20" t="s">
        <v>23</v>
      </c>
    </row>
    <row r="20" spans="1:15">
      <c r="A20" s="1"/>
      <c r="B20" s="26" t="s">
        <v>31</v>
      </c>
      <c r="C20" s="27"/>
      <c r="D20" s="27"/>
      <c r="E20" s="28">
        <f>$C$153*E19</f>
        <v>0</v>
      </c>
      <c r="F20" s="28">
        <f t="shared" ref="F20:N20" si="4">$C$153*F19</f>
        <v>0</v>
      </c>
      <c r="G20" s="28">
        <f t="shared" si="4"/>
        <v>0</v>
      </c>
      <c r="H20" s="28">
        <f t="shared" si="4"/>
        <v>0</v>
      </c>
      <c r="I20" s="28">
        <f t="shared" si="4"/>
        <v>0</v>
      </c>
      <c r="J20" s="28">
        <f t="shared" si="4"/>
        <v>0</v>
      </c>
      <c r="K20" s="28">
        <f t="shared" si="4"/>
        <v>0</v>
      </c>
      <c r="L20" s="28">
        <f t="shared" si="4"/>
        <v>0</v>
      </c>
      <c r="M20" s="28">
        <f t="shared" si="4"/>
        <v>0</v>
      </c>
      <c r="N20" s="28">
        <f t="shared" si="4"/>
        <v>0</v>
      </c>
      <c r="O20" s="20" t="s">
        <v>23</v>
      </c>
    </row>
    <row r="21" spans="1:15" ht="5.0999999999999996" customHeight="1">
      <c r="A21" s="1"/>
      <c r="B21" s="26"/>
      <c r="C21" s="27"/>
      <c r="D21" s="27"/>
      <c r="E21" s="54"/>
      <c r="F21" s="54"/>
      <c r="G21" s="54"/>
      <c r="H21" s="54"/>
      <c r="I21" s="54"/>
      <c r="J21" s="54"/>
      <c r="K21" s="54"/>
      <c r="L21" s="54"/>
      <c r="M21" s="54"/>
      <c r="N21" s="54"/>
    </row>
    <row r="22" spans="1:15">
      <c r="A22" s="1"/>
      <c r="B22" s="26" t="s">
        <v>32</v>
      </c>
      <c r="C22" s="27"/>
      <c r="D22" s="27"/>
      <c r="E22" s="28">
        <f t="shared" ref="E22:N22" si="5">-IF(OR($C$158=E$9,$C$158=E$9-1),$C$156*(1/$C$159)*$C$134,0)</f>
        <v>0</v>
      </c>
      <c r="F22" s="28">
        <f t="shared" si="5"/>
        <v>-31161136.000000004</v>
      </c>
      <c r="G22" s="28">
        <f t="shared" si="5"/>
        <v>-31161136.000000004</v>
      </c>
      <c r="H22" s="28">
        <f t="shared" si="5"/>
        <v>0</v>
      </c>
      <c r="I22" s="28">
        <f t="shared" si="5"/>
        <v>0</v>
      </c>
      <c r="J22" s="28">
        <f t="shared" si="5"/>
        <v>0</v>
      </c>
      <c r="K22" s="28">
        <f t="shared" si="5"/>
        <v>0</v>
      </c>
      <c r="L22" s="28">
        <f t="shared" si="5"/>
        <v>0</v>
      </c>
      <c r="M22" s="28">
        <f t="shared" si="5"/>
        <v>0</v>
      </c>
      <c r="N22" s="28">
        <f t="shared" si="5"/>
        <v>0</v>
      </c>
      <c r="O22" s="20" t="s">
        <v>23</v>
      </c>
    </row>
    <row r="23" spans="1:15">
      <c r="A23" s="1"/>
      <c r="B23" s="26" t="s">
        <v>33</v>
      </c>
      <c r="C23" s="27"/>
      <c r="D23" s="27"/>
      <c r="E23" s="28">
        <f>$C$153*E22</f>
        <v>0</v>
      </c>
      <c r="F23" s="28">
        <f t="shared" ref="F23:N23" si="6">$C$153*F22</f>
        <v>-6232227.2000000011</v>
      </c>
      <c r="G23" s="28">
        <f t="shared" si="6"/>
        <v>-6232227.2000000011</v>
      </c>
      <c r="H23" s="28">
        <f t="shared" si="6"/>
        <v>0</v>
      </c>
      <c r="I23" s="28">
        <f t="shared" si="6"/>
        <v>0</v>
      </c>
      <c r="J23" s="28">
        <f t="shared" si="6"/>
        <v>0</v>
      </c>
      <c r="K23" s="28">
        <f t="shared" si="6"/>
        <v>0</v>
      </c>
      <c r="L23" s="28">
        <f t="shared" si="6"/>
        <v>0</v>
      </c>
      <c r="M23" s="28">
        <f t="shared" si="6"/>
        <v>0</v>
      </c>
      <c r="N23" s="28">
        <f t="shared" si="6"/>
        <v>0</v>
      </c>
      <c r="O23" s="20" t="s">
        <v>23</v>
      </c>
    </row>
    <row r="24" spans="1:15" ht="5.0999999999999996" customHeight="1">
      <c r="A24" s="1"/>
      <c r="B24" s="26"/>
      <c r="C24" s="27"/>
      <c r="D24" s="27"/>
      <c r="E24" s="54"/>
      <c r="F24" s="54"/>
      <c r="G24" s="54"/>
      <c r="H24" s="54"/>
      <c r="I24" s="54"/>
      <c r="J24" s="54"/>
      <c r="K24" s="54"/>
      <c r="L24" s="54"/>
      <c r="M24" s="54"/>
      <c r="N24" s="54"/>
    </row>
    <row r="25" spans="1:15" ht="15" customHeight="1">
      <c r="A25" s="1"/>
      <c r="B25" s="26" t="s">
        <v>34</v>
      </c>
      <c r="C25" s="27">
        <f>SUM(E25:N25)</f>
        <v>-64300000</v>
      </c>
      <c r="D25" s="27"/>
      <c r="E25" s="28">
        <f>-IF(OR($C$158=E$9,$C$158=E$9-1),($C$223*$C$214)*(1/$C$159),0)</f>
        <v>0</v>
      </c>
      <c r="F25" s="28">
        <f>-IF(OR($C$158=F$9,$C$158=F$9-1),($C$223*$C$214)*(1/$C$159),0)</f>
        <v>-32150000</v>
      </c>
      <c r="G25" s="28">
        <f>-IF(OR($C$158=G$9,$C$158=G$9-1),($C$223*$C$214)*(1/$C$159),0)</f>
        <v>-32150000</v>
      </c>
      <c r="H25" s="28">
        <f>-IF(OR($C$158=H$9,$C$158=H$9-1),($C$223*$C$214)*(1/$C$159),0)</f>
        <v>0</v>
      </c>
      <c r="I25" s="28">
        <f>-IF(OR($C$158=I$9,$C$158=I$9-1),($C$223*$C$214)*(1/$C$159),0)</f>
        <v>0</v>
      </c>
      <c r="J25" s="28">
        <f>-IF(OR($C$158=J$9,$C$158=J$9-1),($C$223*$C$214)*(1/$C$159),0)</f>
        <v>0</v>
      </c>
      <c r="K25" s="28">
        <f>-IF(OR($C$158=K$9,$C$158=K$9-1),($C$223*$C$214)*(1/$C$159),0)</f>
        <v>0</v>
      </c>
      <c r="L25" s="28">
        <f>-IF(OR($C$158=L$9,$C$158=L$9-1),($C$223*$C$214)*(1/$C$159),0)</f>
        <v>0</v>
      </c>
      <c r="M25" s="28">
        <f>-IF(OR($C$158=M$9,$C$158=M$9-1),($C$223*$C$214)*(1/$C$159),0)</f>
        <v>0</v>
      </c>
      <c r="N25" s="28">
        <f>-IF(OR($C$158=N$9,$C$158=N$9-1),($C$223*$C$214)*(1/$C$159),0)</f>
        <v>0</v>
      </c>
    </row>
    <row r="26" spans="1:15">
      <c r="A26" s="1"/>
      <c r="B26" s="26" t="s">
        <v>35</v>
      </c>
      <c r="C26" s="27">
        <f>SUM(E26:N26)</f>
        <v>-21450000</v>
      </c>
      <c r="D26" s="27"/>
      <c r="E26" s="28">
        <f>-IF(OR($C$158=E$9,$C$158=E$9-1),($C$224*$C$218)*(1/$C$159),0)</f>
        <v>0</v>
      </c>
      <c r="F26" s="28">
        <f>-IF(OR($C$158=F$9,$C$158=F$9-1),($C$224*$C$218)*(1/$C$159),0)</f>
        <v>-10725000</v>
      </c>
      <c r="G26" s="28">
        <f>-IF(OR($C$158=G$9,$C$158=G$9-1),($C$224*$C$218)*(1/$C$159),0)</f>
        <v>-10725000</v>
      </c>
      <c r="H26" s="28">
        <f>-IF(OR($C$158=H$9,$C$158=H$9-1),($C$224*$C$218)*(1/$C$159),0)</f>
        <v>0</v>
      </c>
      <c r="I26" s="28">
        <f>-IF(OR($C$158=I$9,$C$158=I$9-1),($C$224*$C$218)*(1/$C$159),0)</f>
        <v>0</v>
      </c>
      <c r="J26" s="28">
        <f>-IF(OR($C$158=J$9,$C$158=J$9-1),($C$224*$C$218)*(1/$C$159),0)</f>
        <v>0</v>
      </c>
      <c r="K26" s="28">
        <f>-IF(OR($C$158=K$9,$C$158=K$9-1),($C$224*$C$218)*(1/$C$159),0)</f>
        <v>0</v>
      </c>
      <c r="L26" s="28">
        <f>-IF(OR($C$158=L$9,$C$158=L$9-1),($C$224*$C$218)*(1/$C$159),0)</f>
        <v>0</v>
      </c>
      <c r="M26" s="28">
        <f>-IF(OR($C$158=M$9,$C$158=M$9-1),($C$224*$C$218)*(1/$C$159),0)</f>
        <v>0</v>
      </c>
      <c r="N26" s="28">
        <f>-IF(OR($C$158=N$9,$C$158=N$9-1),($C$224*$C$218)*(1/$C$159),0)</f>
        <v>0</v>
      </c>
      <c r="O26" s="20" t="s">
        <v>23</v>
      </c>
    </row>
    <row r="27" spans="1:15">
      <c r="A27" s="1"/>
      <c r="B27" s="26" t="s">
        <v>36</v>
      </c>
      <c r="C27" s="27">
        <f>SUM(E27:N27)</f>
        <v>-17150000</v>
      </c>
      <c r="D27" s="27"/>
      <c r="E27" s="28">
        <f>$C$153*(E25+E26)</f>
        <v>0</v>
      </c>
      <c r="F27" s="28">
        <f t="shared" ref="F27:N27" si="7">$C$153*(F25+F26)</f>
        <v>-8575000</v>
      </c>
      <c r="G27" s="28">
        <f t="shared" si="7"/>
        <v>-8575000</v>
      </c>
      <c r="H27" s="28">
        <f t="shared" si="7"/>
        <v>0</v>
      </c>
      <c r="I27" s="28">
        <f t="shared" si="7"/>
        <v>0</v>
      </c>
      <c r="J27" s="28">
        <f t="shared" si="7"/>
        <v>0</v>
      </c>
      <c r="K27" s="28">
        <f t="shared" si="7"/>
        <v>0</v>
      </c>
      <c r="L27" s="28">
        <f t="shared" si="7"/>
        <v>0</v>
      </c>
      <c r="M27" s="28">
        <f t="shared" si="7"/>
        <v>0</v>
      </c>
      <c r="N27" s="28">
        <f t="shared" si="7"/>
        <v>0</v>
      </c>
      <c r="O27" s="20" t="s">
        <v>23</v>
      </c>
    </row>
    <row r="28" spans="1:15" s="25" customFormat="1">
      <c r="A28" s="20"/>
      <c r="B28" s="29" t="str">
        <f>"Total "&amp;B11</f>
        <v>Total Development Costs</v>
      </c>
      <c r="C28" s="30">
        <f>SUM(E28:N28)</f>
        <v>-491333632</v>
      </c>
      <c r="D28" s="30"/>
      <c r="E28" s="31">
        <f t="shared" ref="E28:N28" si="8">SUM(E12:E27)</f>
        <v>-14500000</v>
      </c>
      <c r="F28" s="31">
        <f t="shared" si="8"/>
        <v>-238416816</v>
      </c>
      <c r="G28" s="31">
        <f t="shared" si="8"/>
        <v>-238416816</v>
      </c>
      <c r="H28" s="31">
        <f t="shared" si="8"/>
        <v>0</v>
      </c>
      <c r="I28" s="31">
        <f t="shared" si="8"/>
        <v>0</v>
      </c>
      <c r="J28" s="31">
        <f t="shared" si="8"/>
        <v>0</v>
      </c>
      <c r="K28" s="31">
        <f t="shared" si="8"/>
        <v>0</v>
      </c>
      <c r="L28" s="31">
        <f t="shared" si="8"/>
        <v>0</v>
      </c>
      <c r="M28" s="31">
        <f t="shared" si="8"/>
        <v>0</v>
      </c>
      <c r="N28" s="31">
        <f t="shared" si="8"/>
        <v>0</v>
      </c>
      <c r="O28" s="20" t="s">
        <v>23</v>
      </c>
    </row>
    <row r="29" spans="1:15" s="1" customFormat="1" ht="6.95">
      <c r="O29" s="1" t="s">
        <v>23</v>
      </c>
    </row>
    <row r="30" spans="1:15">
      <c r="B30" s="25" t="s">
        <v>37</v>
      </c>
      <c r="C30" s="25"/>
      <c r="D30" s="25"/>
      <c r="O30" s="20" t="s">
        <v>23</v>
      </c>
    </row>
    <row r="31" spans="1:15">
      <c r="A31" s="1"/>
      <c r="B31" s="26" t="s">
        <v>38</v>
      </c>
      <c r="C31" s="27">
        <f>SUM(E31:N31)</f>
        <v>498435623.74748027</v>
      </c>
      <c r="D31" s="27"/>
      <c r="E31" s="28">
        <f t="shared" ref="E31:N31" si="9">IF(E$9&gt;$C$160-1,$C$167*$C$137*(1+$C$171)^E$10,0)</f>
        <v>0</v>
      </c>
      <c r="F31" s="28">
        <f t="shared" si="9"/>
        <v>0</v>
      </c>
      <c r="G31" s="28">
        <f t="shared" si="9"/>
        <v>0</v>
      </c>
      <c r="H31" s="28">
        <f t="shared" si="9"/>
        <v>66040442.118371993</v>
      </c>
      <c r="I31" s="28">
        <f t="shared" si="9"/>
        <v>67691453.171331286</v>
      </c>
      <c r="J31" s="28">
        <f t="shared" si="9"/>
        <v>69383739.500614569</v>
      </c>
      <c r="K31" s="28">
        <f t="shared" si="9"/>
        <v>71118332.988129929</v>
      </c>
      <c r="L31" s="28">
        <f t="shared" si="9"/>
        <v>72896291.312833175</v>
      </c>
      <c r="M31" s="28">
        <f t="shared" si="9"/>
        <v>74718698.595653996</v>
      </c>
      <c r="N31" s="28">
        <f t="shared" si="9"/>
        <v>76586666.06054534</v>
      </c>
      <c r="O31" s="20" t="s">
        <v>23</v>
      </c>
    </row>
    <row r="32" spans="1:15">
      <c r="A32" s="1"/>
      <c r="B32" s="26" t="s">
        <v>39</v>
      </c>
      <c r="C32" s="27"/>
      <c r="D32" s="27"/>
      <c r="E32" s="32" cm="1">
        <f t="array" ref="E32">_xlfn.IFS(E$9=$C$181,$C$182,OR(E$9=$C$186,E$9&gt;$C$186),$C$187,E$9&lt;$C$181,0)</f>
        <v>0</v>
      </c>
      <c r="F32" s="32" cm="1">
        <f t="array" ref="F32">_xlfn.IFS(F$9=$C$181,$C$182,OR(F$9=$C$186,F$9&gt;$C$186),$C$187,F$9&lt;$C$181,0)</f>
        <v>0</v>
      </c>
      <c r="G32" s="32" cm="1">
        <f t="array" ref="G32">_xlfn.IFS(G$9=$C$181,$C$182,OR(G$9=$C$186,G$9&gt;$C$186),$C$187,G$9&lt;$C$181,0)</f>
        <v>0</v>
      </c>
      <c r="H32" s="32" cm="1">
        <f t="array" ref="H32">_xlfn.IFS(H$9=$C$181,$C$182,OR(H$9=$C$186,H$9&gt;$C$186),$C$187,H$9&lt;$C$181,0)</f>
        <v>0.5</v>
      </c>
      <c r="I32" s="32" cm="1">
        <f t="array" ref="I32">_xlfn.IFS(I$9=$C$181,$C$182,OR(I$9=$C$186,I$9&gt;$C$186),$C$187,I$9&lt;$C$181,0)</f>
        <v>0.95</v>
      </c>
      <c r="J32" s="32" cm="1">
        <f t="array" ref="J32">_xlfn.IFS(J$9=$C$181,$C$182,OR(J$9=$C$186,J$9&gt;$C$186),$C$187,J$9&lt;$C$181,0)</f>
        <v>0.95</v>
      </c>
      <c r="K32" s="32" cm="1">
        <f t="array" ref="K32">_xlfn.IFS(K$9=$C$181,$C$182,OR(K$9=$C$186,K$9&gt;$C$186),$C$187,K$9&lt;$C$181,0)</f>
        <v>0.95</v>
      </c>
      <c r="L32" s="32" cm="1">
        <f t="array" ref="L32">_xlfn.IFS(L$9=$C$181,$C$182,OR(L$9=$C$186,L$9&gt;$C$186),$C$187,L$9&lt;$C$181,0)</f>
        <v>0.95</v>
      </c>
      <c r="M32" s="32" cm="1">
        <f t="array" ref="M32">_xlfn.IFS(M$9=$C$181,$C$182,OR(M$9=$C$186,M$9&gt;$C$186),$C$187,M$9&lt;$C$181,0)</f>
        <v>0.95</v>
      </c>
      <c r="N32" s="32" cm="1">
        <f t="array" ref="N32">_xlfn.IFS(N$9=$C$181,$C$182,OR(N$9=$C$186,N$9&gt;$C$186),$C$187,N$9&lt;$C$181,0)</f>
        <v>0.95</v>
      </c>
      <c r="O32" s="20" t="s">
        <v>23</v>
      </c>
    </row>
    <row r="33" spans="1:15" ht="12" customHeight="1">
      <c r="A33" s="1"/>
      <c r="B33" s="26" t="s">
        <v>40</v>
      </c>
      <c r="C33" s="27">
        <f>SUM(E33:N33)</f>
        <v>-54639980.140641436</v>
      </c>
      <c r="D33" s="27"/>
      <c r="E33" s="28">
        <f>-E31*(1-E32)</f>
        <v>0</v>
      </c>
      <c r="F33" s="28">
        <f t="shared" ref="F33:N33" si="10">-F31*(1-F32)</f>
        <v>0</v>
      </c>
      <c r="G33" s="28">
        <f t="shared" si="10"/>
        <v>0</v>
      </c>
      <c r="H33" s="28">
        <f t="shared" si="10"/>
        <v>-33020221.059185997</v>
      </c>
      <c r="I33" s="28">
        <f t="shared" si="10"/>
        <v>-3384572.6585665671</v>
      </c>
      <c r="J33" s="28">
        <f t="shared" si="10"/>
        <v>-3469186.9750307314</v>
      </c>
      <c r="K33" s="28">
        <f t="shared" si="10"/>
        <v>-3555916.6494064997</v>
      </c>
      <c r="L33" s="28">
        <f t="shared" si="10"/>
        <v>-3644814.5656416621</v>
      </c>
      <c r="M33" s="28">
        <f t="shared" si="10"/>
        <v>-3735934.9297827031</v>
      </c>
      <c r="N33" s="28">
        <f t="shared" si="10"/>
        <v>-3829333.3030272704</v>
      </c>
      <c r="O33" s="20" t="s">
        <v>23</v>
      </c>
    </row>
    <row r="34" spans="1:15" ht="6.95" customHeight="1">
      <c r="A34" s="1"/>
      <c r="B34" s="26"/>
      <c r="C34" s="27"/>
      <c r="D34" s="27"/>
      <c r="E34" s="54"/>
      <c r="F34" s="54"/>
      <c r="G34" s="54"/>
      <c r="H34" s="54"/>
      <c r="I34" s="54"/>
      <c r="J34" s="54"/>
      <c r="K34" s="54"/>
      <c r="L34" s="54"/>
      <c r="M34" s="54"/>
      <c r="N34" s="54"/>
    </row>
    <row r="35" spans="1:15">
      <c r="A35" s="1"/>
      <c r="B35" s="26" t="s">
        <v>41</v>
      </c>
      <c r="C35" s="27"/>
      <c r="D35" s="27"/>
      <c r="E35" s="28">
        <f t="shared" ref="E35:N35" si="11">IF(E$9&gt;$C$160-1,$C$173*$C$141*(1+$C$174)^E$10,0)</f>
        <v>0</v>
      </c>
      <c r="F35" s="28">
        <f t="shared" si="11"/>
        <v>0</v>
      </c>
      <c r="G35" s="28">
        <f t="shared" si="11"/>
        <v>0</v>
      </c>
      <c r="H35" s="28">
        <f t="shared" si="11"/>
        <v>0</v>
      </c>
      <c r="I35" s="28">
        <f t="shared" si="11"/>
        <v>0</v>
      </c>
      <c r="J35" s="28">
        <f t="shared" si="11"/>
        <v>0</v>
      </c>
      <c r="K35" s="28">
        <f t="shared" si="11"/>
        <v>0</v>
      </c>
      <c r="L35" s="28">
        <f t="shared" si="11"/>
        <v>0</v>
      </c>
      <c r="M35" s="28">
        <f t="shared" si="11"/>
        <v>0</v>
      </c>
      <c r="N35" s="28">
        <f t="shared" si="11"/>
        <v>0</v>
      </c>
    </row>
    <row r="36" spans="1:15">
      <c r="A36" s="1"/>
      <c r="B36" s="26" t="s">
        <v>39</v>
      </c>
      <c r="C36" s="27"/>
      <c r="D36" s="27"/>
      <c r="E36" s="32" cm="1">
        <f t="array" ref="E36">_xlfn.IFS(E$9=$C$181,$C$183,OR(E$9=$C$186,E$9&gt;$C$186),$C$187,E$9&lt;$C$181,0)</f>
        <v>0</v>
      </c>
      <c r="F36" s="32" cm="1">
        <f t="array" ref="F36">_xlfn.IFS(F$9=$C$181,$C$183,OR(F$9=$C$186,F$9&gt;$C$186),$C$187,F$9&lt;$C$181,0)</f>
        <v>0</v>
      </c>
      <c r="G36" s="32" cm="1">
        <f t="array" ref="G36">_xlfn.IFS(G$9=$C$181,$C$183,OR(G$9=$C$186,G$9&gt;$C$186),$C$187,G$9&lt;$C$181,0)</f>
        <v>0</v>
      </c>
      <c r="H36" s="32" cm="1">
        <f t="array" ref="H36">_xlfn.IFS(H$9=$C$181,$C$183,OR(H$9=$C$186,H$9&gt;$C$186),$C$187,H$9&lt;$C$181,0)</f>
        <v>0.7</v>
      </c>
      <c r="I36" s="32" cm="1">
        <f t="array" ref="I36">_xlfn.IFS(I$9=$C$181,$C$183,OR(I$9=$C$186,I$9&gt;$C$186),$C$187,I$9&lt;$C$181,0)</f>
        <v>0.95</v>
      </c>
      <c r="J36" s="32" cm="1">
        <f t="array" ref="J36">_xlfn.IFS(J$9=$C$181,$C$183,OR(J$9=$C$186,J$9&gt;$C$186),$C$187,J$9&lt;$C$181,0)</f>
        <v>0.95</v>
      </c>
      <c r="K36" s="32" cm="1">
        <f t="array" ref="K36">_xlfn.IFS(K$9=$C$181,$C$183,OR(K$9=$C$186,K$9&gt;$C$186),$C$187,K$9&lt;$C$181,0)</f>
        <v>0.95</v>
      </c>
      <c r="L36" s="32" cm="1">
        <f t="array" ref="L36">_xlfn.IFS(L$9=$C$181,$C$183,OR(L$9=$C$186,L$9&gt;$C$186),$C$187,L$9&lt;$C$181,0)</f>
        <v>0.95</v>
      </c>
      <c r="M36" s="32" cm="1">
        <f t="array" ref="M36">_xlfn.IFS(M$9=$C$181,$C$183,OR(M$9=$C$186,M$9&gt;$C$186),$C$187,M$9&lt;$C$181,0)</f>
        <v>0.95</v>
      </c>
      <c r="N36" s="32" cm="1">
        <f t="array" ref="N36">_xlfn.IFS(N$9=$C$181,$C$183,OR(N$9=$C$186,N$9&gt;$C$186),$C$187,N$9&lt;$C$181,0)</f>
        <v>0.95</v>
      </c>
    </row>
    <row r="37" spans="1:15">
      <c r="A37" s="1"/>
      <c r="B37" s="26" t="s">
        <v>40</v>
      </c>
      <c r="C37" s="27">
        <f>SUM(E37:N37)</f>
        <v>0</v>
      </c>
      <c r="D37" s="27"/>
      <c r="E37" s="28">
        <f>-E35*(1-E36)</f>
        <v>0</v>
      </c>
      <c r="F37" s="28">
        <f t="shared" ref="F37:N37" si="12">-F35*(1-F36)</f>
        <v>0</v>
      </c>
      <c r="G37" s="28">
        <f t="shared" si="12"/>
        <v>0</v>
      </c>
      <c r="H37" s="28">
        <f t="shared" si="12"/>
        <v>0</v>
      </c>
      <c r="I37" s="28">
        <f t="shared" si="12"/>
        <v>0</v>
      </c>
      <c r="J37" s="28">
        <f t="shared" si="12"/>
        <v>0</v>
      </c>
      <c r="K37" s="28">
        <f t="shared" si="12"/>
        <v>0</v>
      </c>
      <c r="L37" s="28">
        <f t="shared" si="12"/>
        <v>0</v>
      </c>
      <c r="M37" s="28">
        <f t="shared" si="12"/>
        <v>0</v>
      </c>
      <c r="N37" s="28">
        <f t="shared" si="12"/>
        <v>0</v>
      </c>
      <c r="O37" s="20" t="s">
        <v>23</v>
      </c>
    </row>
    <row r="38" spans="1:15" ht="6.95" customHeight="1">
      <c r="A38" s="1"/>
      <c r="B38" s="26"/>
      <c r="C38" s="27"/>
      <c r="D38" s="27"/>
      <c r="E38" s="54"/>
      <c r="F38" s="54"/>
      <c r="G38" s="54"/>
      <c r="H38" s="54"/>
      <c r="I38" s="54"/>
      <c r="J38" s="54"/>
      <c r="K38" s="54"/>
      <c r="L38" s="54"/>
      <c r="M38" s="54"/>
      <c r="N38" s="54"/>
    </row>
    <row r="39" spans="1:15">
      <c r="A39" s="1"/>
      <c r="B39" s="26" t="s">
        <v>42</v>
      </c>
      <c r="C39" s="27"/>
      <c r="D39" s="27"/>
      <c r="E39" s="28">
        <f t="shared" ref="E39:N39" si="13">IF(E$9&gt;$C$160-1,$C$176*$C$143*(1+$C$177)^E$10,0)</f>
        <v>0</v>
      </c>
      <c r="F39" s="28">
        <f t="shared" si="13"/>
        <v>0</v>
      </c>
      <c r="G39" s="28">
        <f t="shared" si="13"/>
        <v>0</v>
      </c>
      <c r="H39" s="28">
        <f t="shared" si="13"/>
        <v>12080568.680189999</v>
      </c>
      <c r="I39" s="28">
        <f t="shared" si="13"/>
        <v>12382582.897194749</v>
      </c>
      <c r="J39" s="28">
        <f t="shared" si="13"/>
        <v>12692147.469624616</v>
      </c>
      <c r="K39" s="28">
        <f t="shared" si="13"/>
        <v>13009451.156365231</v>
      </c>
      <c r="L39" s="28">
        <f t="shared" si="13"/>
        <v>13334687.435274363</v>
      </c>
      <c r="M39" s="28">
        <f t="shared" si="13"/>
        <v>13668054.621156219</v>
      </c>
      <c r="N39" s="28">
        <f t="shared" si="13"/>
        <v>14009755.986685123</v>
      </c>
    </row>
    <row r="40" spans="1:15">
      <c r="A40" s="1"/>
      <c r="B40" s="26" t="s">
        <v>39</v>
      </c>
      <c r="C40" s="27"/>
      <c r="D40" s="27"/>
      <c r="E40" s="32" cm="1">
        <f t="array" ref="E40">_xlfn.IFS(E$9=$C$181,$C$184,OR(E$9=$C$186,E$9&gt;$C$186),$C$187,E$9&lt;$C$181,0)</f>
        <v>0</v>
      </c>
      <c r="F40" s="32" cm="1">
        <f t="array" ref="F40">_xlfn.IFS(F$9=$C$181,$C$184,OR(F$9=$C$186,F$9&gt;$C$186),$C$187,F$9&lt;$C$181,0)</f>
        <v>0</v>
      </c>
      <c r="G40" s="32" cm="1">
        <f t="array" ref="G40">_xlfn.IFS(G$9=$C$181,$C$184,OR(G$9=$C$186,G$9&gt;$C$186),$C$187,G$9&lt;$C$181,0)</f>
        <v>0</v>
      </c>
      <c r="H40" s="32" cm="1">
        <f t="array" ref="H40">_xlfn.IFS(H$9=$C$181,$C$184,OR(H$9=$C$186,H$9&gt;$C$186),$C$187,H$9&lt;$C$181,0)</f>
        <v>0.7</v>
      </c>
      <c r="I40" s="32" cm="1">
        <f t="array" ref="I40">_xlfn.IFS(I$9=$C$181,$C$184,OR(I$9=$C$186,I$9&gt;$C$186),$C$187,I$9&lt;$C$181,0)</f>
        <v>0.95</v>
      </c>
      <c r="J40" s="32" cm="1">
        <f t="array" ref="J40">_xlfn.IFS(J$9=$C$181,$C$184,OR(J$9=$C$186,J$9&gt;$C$186),$C$187,J$9&lt;$C$181,0)</f>
        <v>0.95</v>
      </c>
      <c r="K40" s="32" cm="1">
        <f t="array" ref="K40">_xlfn.IFS(K$9=$C$181,$C$184,OR(K$9=$C$186,K$9&gt;$C$186),$C$187,K$9&lt;$C$181,0)</f>
        <v>0.95</v>
      </c>
      <c r="L40" s="32" cm="1">
        <f t="array" ref="L40">_xlfn.IFS(L$9=$C$181,$C$184,OR(L$9=$C$186,L$9&gt;$C$186),$C$187,L$9&lt;$C$181,0)</f>
        <v>0.95</v>
      </c>
      <c r="M40" s="32" cm="1">
        <f t="array" ref="M40">_xlfn.IFS(M$9=$C$181,$C$184,OR(M$9=$C$186,M$9&gt;$C$186),$C$187,M$9&lt;$C$181,0)</f>
        <v>0.95</v>
      </c>
      <c r="N40" s="32" cm="1">
        <f t="array" ref="N40">_xlfn.IFS(N$9=$C$181,$C$184,OR(N$9=$C$186,N$9&gt;$C$186),$C$187,N$9&lt;$C$181,0)</f>
        <v>0.95</v>
      </c>
    </row>
    <row r="41" spans="1:15">
      <c r="A41" s="1"/>
      <c r="B41" s="26" t="s">
        <v>40</v>
      </c>
      <c r="C41" s="27">
        <f>SUM(E41:N41)</f>
        <v>-7579004.5823720181</v>
      </c>
      <c r="D41" s="27"/>
      <c r="E41" s="28">
        <f>-E39*(1-E40)</f>
        <v>0</v>
      </c>
      <c r="F41" s="28">
        <f t="shared" ref="F41:N41" si="14">-F39*(1-F40)</f>
        <v>0</v>
      </c>
      <c r="G41" s="28">
        <f t="shared" si="14"/>
        <v>0</v>
      </c>
      <c r="H41" s="28">
        <f t="shared" si="14"/>
        <v>-3624170.604057</v>
      </c>
      <c r="I41" s="28">
        <f t="shared" si="14"/>
        <v>-619129.14485973795</v>
      </c>
      <c r="J41" s="28">
        <f t="shared" si="14"/>
        <v>-634607.37348123139</v>
      </c>
      <c r="K41" s="28">
        <f t="shared" si="14"/>
        <v>-650472.55781826214</v>
      </c>
      <c r="L41" s="28">
        <f t="shared" si="14"/>
        <v>-666734.37176371866</v>
      </c>
      <c r="M41" s="28">
        <f t="shared" si="14"/>
        <v>-683402.73105781153</v>
      </c>
      <c r="N41" s="28">
        <f t="shared" si="14"/>
        <v>-700487.79933425679</v>
      </c>
      <c r="O41" s="20" t="s">
        <v>23</v>
      </c>
    </row>
    <row r="42" spans="1:15" ht="8.1" customHeight="1">
      <c r="A42" s="1"/>
      <c r="B42" s="26"/>
      <c r="C42" s="27"/>
      <c r="D42" s="27"/>
      <c r="E42" s="54"/>
      <c r="F42" s="54"/>
      <c r="G42" s="54"/>
      <c r="H42" s="54"/>
      <c r="I42" s="54"/>
      <c r="J42" s="54"/>
      <c r="K42" s="54"/>
      <c r="L42" s="54"/>
      <c r="M42" s="54"/>
      <c r="N42" s="54"/>
    </row>
    <row r="43" spans="1:15">
      <c r="A43" s="1"/>
      <c r="B43" s="26" t="s">
        <v>43</v>
      </c>
      <c r="C43" s="27"/>
      <c r="D43" s="27"/>
      <c r="E43" s="28">
        <f>IF(E$9&gt;$C$160-1,($C$227*$C$211)*(1+$C$179)^E$10,0)</f>
        <v>0</v>
      </c>
      <c r="F43" s="28">
        <f>IF(F$9&gt;$C$160-1,($C$227*$C$211)*(1+$C$179)^F$10,0)</f>
        <v>0</v>
      </c>
      <c r="G43" s="28">
        <f>IF(G$9&gt;$C$160-1,($C$227*$C$211)*(1+$C$179)^G$10,0)</f>
        <v>0</v>
      </c>
      <c r="H43" s="28">
        <f>IF(H$9&gt;$C$160-1,($C$227*$C$211)*(1+$C$179)^H$10,0)</f>
        <v>288472.07617187494</v>
      </c>
      <c r="I43" s="28">
        <f>IF(I$9&gt;$C$160-1,($C$227*$C$211)*(1+$C$179)^I$10,0)</f>
        <v>295683.87807617179</v>
      </c>
      <c r="J43" s="28">
        <f>IF(J$9&gt;$C$160-1,($C$227*$C$211)*(1+$C$179)^J$10,0)</f>
        <v>303075.97502807609</v>
      </c>
      <c r="K43" s="28">
        <f>IF(K$9&gt;$C$160-1,($C$227*$C$211)*(1+$C$179)^K$10,0)</f>
        <v>310652.87440377794</v>
      </c>
      <c r="L43" s="28">
        <f>IF(L$9&gt;$C$160-1,($C$227*$C$211)*(1+$C$179)^L$10,0)</f>
        <v>318419.19626387244</v>
      </c>
      <c r="M43" s="28">
        <f>IF(M$9&gt;$C$160-1,($C$227*$C$211)*(1+$C$179)^M$10,0)</f>
        <v>326379.6761704692</v>
      </c>
      <c r="N43" s="28">
        <f>IF(N$9&gt;$C$160-1,($C$227*$C$211)*(1+$C$179)^N$10,0)</f>
        <v>334539.1680747309</v>
      </c>
    </row>
    <row r="44" spans="1:15">
      <c r="A44" s="1"/>
      <c r="B44" s="26" t="s">
        <v>39</v>
      </c>
      <c r="C44" s="27"/>
      <c r="D44" s="27"/>
      <c r="E44" s="32" cm="1">
        <f t="array" ref="E44">_xlfn.IFS(E$9=$C$181,$C$185,OR(E$9=$C$186,E$9&gt;$C$186),$C$228,E$9&lt;$C$181,0)</f>
        <v>0</v>
      </c>
      <c r="F44" s="32" cm="1">
        <f t="array" ref="F44">_xlfn.IFS(F$9=$C$181,$C$185,OR(F$9=$C$186,F$9&gt;$C$186),$C$228,F$9&lt;$C$181,0)</f>
        <v>0</v>
      </c>
      <c r="G44" s="32" cm="1">
        <f t="array" ref="G44">_xlfn.IFS(G$9=$C$181,$C$185,OR(G$9=$C$186,G$9&gt;$C$186),$C$228,G$9&lt;$C$181,0)</f>
        <v>0</v>
      </c>
      <c r="H44" s="32" cm="1">
        <f t="array" ref="H44">_xlfn.IFS(H$9=$C$181,$C$185,OR(H$9=$C$186,H$9&gt;$C$186),$C$228,H$9&lt;$C$181,0)</f>
        <v>0.5</v>
      </c>
      <c r="I44" s="32" cm="1">
        <f t="array" ref="I44">_xlfn.IFS(I$9=$C$181,$C$185,OR(I$9=$C$186,I$9&gt;$C$186),$C$228,I$9&lt;$C$181,0)</f>
        <v>0.95</v>
      </c>
      <c r="J44" s="32" cm="1">
        <f t="array" ref="J44">_xlfn.IFS(J$9=$C$181,$C$185,OR(J$9=$C$186,J$9&gt;$C$186),$C$228,J$9&lt;$C$181,0)</f>
        <v>0.95</v>
      </c>
      <c r="K44" s="32" cm="1">
        <f t="array" ref="K44">_xlfn.IFS(K$9=$C$181,$C$185,OR(K$9=$C$186,K$9&gt;$C$186),$C$228,K$9&lt;$C$181,0)</f>
        <v>0.95</v>
      </c>
      <c r="L44" s="32" cm="1">
        <f t="array" ref="L44">_xlfn.IFS(L$9=$C$181,$C$185,OR(L$9=$C$186,L$9&gt;$C$186),$C$228,L$9&lt;$C$181,0)</f>
        <v>0.95</v>
      </c>
      <c r="M44" s="32" cm="1">
        <f t="array" ref="M44">_xlfn.IFS(M$9=$C$181,$C$185,OR(M$9=$C$186,M$9&gt;$C$186),$C$228,M$9&lt;$C$181,0)</f>
        <v>0.95</v>
      </c>
      <c r="N44" s="32" cm="1">
        <f t="array" ref="N44">_xlfn.IFS(N$9=$C$181,$C$185,OR(N$9=$C$186,N$9&gt;$C$186),$C$228,N$9&lt;$C$181,0)</f>
        <v>0.95</v>
      </c>
    </row>
    <row r="45" spans="1:15">
      <c r="A45" s="1"/>
      <c r="B45" s="26" t="s">
        <v>40</v>
      </c>
      <c r="C45" s="27">
        <f>SUM(E45:N45)</f>
        <v>-238673.57648679247</v>
      </c>
      <c r="D45" s="27"/>
      <c r="E45" s="28">
        <f>-E43*(1-E44)</f>
        <v>0</v>
      </c>
      <c r="F45" s="28">
        <f t="shared" ref="F45:N45" si="15">-F43*(1-F44)</f>
        <v>0</v>
      </c>
      <c r="G45" s="28">
        <f t="shared" si="15"/>
        <v>0</v>
      </c>
      <c r="H45" s="28">
        <f t="shared" si="15"/>
        <v>-144236.03808593747</v>
      </c>
      <c r="I45" s="28">
        <f t="shared" si="15"/>
        <v>-14784.193903808602</v>
      </c>
      <c r="J45" s="28">
        <f t="shared" si="15"/>
        <v>-15153.798751403818</v>
      </c>
      <c r="K45" s="28">
        <f t="shared" si="15"/>
        <v>-15532.643720188911</v>
      </c>
      <c r="L45" s="28">
        <f t="shared" si="15"/>
        <v>-15920.959813193636</v>
      </c>
      <c r="M45" s="28">
        <f t="shared" si="15"/>
        <v>-16318.983808523475</v>
      </c>
      <c r="N45" s="28">
        <f t="shared" si="15"/>
        <v>-16726.95840373656</v>
      </c>
      <c r="O45" s="20" t="s">
        <v>23</v>
      </c>
    </row>
    <row r="46" spans="1:15" s="1" customFormat="1" ht="6.95">
      <c r="O46" s="1" t="s">
        <v>23</v>
      </c>
    </row>
    <row r="47" spans="1:15" s="1" customFormat="1" ht="15" customHeight="1">
      <c r="B47" s="26" t="s">
        <v>44</v>
      </c>
      <c r="C47" s="27">
        <f t="shared" ref="C47:C50" si="16">SUM(E47:N47)</f>
        <v>-83072603.957913399</v>
      </c>
      <c r="D47" s="27"/>
      <c r="E47" s="28">
        <f>-IF(E$9&gt;$C$160-1,$C$191*$C$137*(1+$C$189)^E$10,0)</f>
        <v>0</v>
      </c>
      <c r="F47" s="28">
        <f>-IF(F$9&gt;$C$160-1,$C$191*$C$137*(1+$C$189)^F$10,0)</f>
        <v>0</v>
      </c>
      <c r="G47" s="28">
        <f>-IF(G$9&gt;$C$160-1,$C$191*$C$137*(1+$C$189)^G$10,0)</f>
        <v>0</v>
      </c>
      <c r="H47" s="28">
        <f>-IF(H$9&gt;$C$160-1,$C$191*$C$137*(1+$C$189)^H$10,0)</f>
        <v>-11006740.353062</v>
      </c>
      <c r="I47" s="28">
        <f>-IF(I$9&gt;$C$160-1,$C$191*$C$137*(1+$C$189)^I$10,0)</f>
        <v>-11281908.861888548</v>
      </c>
      <c r="J47" s="28">
        <f>-IF(J$9&gt;$C$160-1,$C$191*$C$137*(1+$C$189)^J$10,0)</f>
        <v>-11563956.583435761</v>
      </c>
      <c r="K47" s="28">
        <f>-IF(K$9&gt;$C$160-1,$C$191*$C$137*(1+$C$189)^K$10,0)</f>
        <v>-11853055.498021655</v>
      </c>
      <c r="L47" s="28">
        <f>-IF(L$9&gt;$C$160-1,$C$191*$C$137*(1+$C$189)^L$10,0)</f>
        <v>-12149381.885472197</v>
      </c>
      <c r="M47" s="28">
        <f>-IF(M$9&gt;$C$160-1,$C$191*$C$137*(1+$C$189)^M$10,0)</f>
        <v>-12453116.432608999</v>
      </c>
      <c r="N47" s="28">
        <f>-IF(N$9&gt;$C$160-1,$C$191*$C$137*(1+$C$189)^N$10,0)</f>
        <v>-12764444.343424223</v>
      </c>
      <c r="O47" s="20" t="s">
        <v>23</v>
      </c>
    </row>
    <row r="48" spans="1:15" s="1" customFormat="1" ht="15" customHeight="1">
      <c r="B48" s="26" t="s">
        <v>45</v>
      </c>
      <c r="C48" s="27">
        <f t="shared" si="16"/>
        <v>-107994385.14528738</v>
      </c>
      <c r="D48" s="27"/>
      <c r="E48" s="28">
        <f>-IF(E$9&gt;$C$160-1,$C$192*$C$137*(1+$C$189)^E$10,0)</f>
        <v>0</v>
      </c>
      <c r="F48" s="28">
        <f>-IF(F$9&gt;$C$160-1,$C$192*$C$137*(1+$C$189)^F$10,0)</f>
        <v>0</v>
      </c>
      <c r="G48" s="28">
        <f>-IF(G$9&gt;$C$160-1,$C$192*$C$137*(1+$C$189)^G$10,0)</f>
        <v>0</v>
      </c>
      <c r="H48" s="28">
        <f>-IF(H$9&gt;$C$160-1,$C$192*$C$137*(1+$C$189)^H$10,0)</f>
        <v>-14308762.458980598</v>
      </c>
      <c r="I48" s="28">
        <f>-IF(I$9&gt;$C$160-1,$C$192*$C$137*(1+$C$189)^I$10,0)</f>
        <v>-14666481.520455113</v>
      </c>
      <c r="J48" s="28">
        <f>-IF(J$9&gt;$C$160-1,$C$192*$C$137*(1+$C$189)^J$10,0)</f>
        <v>-15033143.558466488</v>
      </c>
      <c r="K48" s="28">
        <f>-IF(K$9&gt;$C$160-1,$C$192*$C$137*(1+$C$189)^K$10,0)</f>
        <v>-15408972.147428149</v>
      </c>
      <c r="L48" s="28">
        <f>-IF(L$9&gt;$C$160-1,$C$192*$C$137*(1+$C$189)^L$10,0)</f>
        <v>-15794196.451113854</v>
      </c>
      <c r="M48" s="28">
        <f>-IF(M$9&gt;$C$160-1,$C$192*$C$137*(1+$C$189)^M$10,0)</f>
        <v>-16189051.362391699</v>
      </c>
      <c r="N48" s="28">
        <f>-IF(N$9&gt;$C$160-1,$C$192*$C$137*(1+$C$189)^N$10,0)</f>
        <v>-16593777.646451488</v>
      </c>
      <c r="O48" s="20" t="s">
        <v>23</v>
      </c>
    </row>
    <row r="49" spans="1:15" s="1" customFormat="1" ht="15" customHeight="1">
      <c r="B49" s="26" t="s">
        <v>44</v>
      </c>
      <c r="C49" s="27">
        <f t="shared" si="16"/>
        <v>0</v>
      </c>
      <c r="D49" s="27"/>
      <c r="E49" s="28">
        <f>-IF(E$9&gt;$C$160-1,$C$193*$C$141*(1+$C$189)^E$10,0)</f>
        <v>0</v>
      </c>
      <c r="F49" s="28">
        <f>-IF(F$9&gt;$C$160-1,$C$193*$C$141*(1+$C$189)^F$10,0)</f>
        <v>0</v>
      </c>
      <c r="G49" s="28">
        <f>-IF(G$9&gt;$C$160-1,$C$193*$C$141*(1+$C$189)^G$10,0)</f>
        <v>0</v>
      </c>
      <c r="H49" s="28">
        <f>-IF(H$9&gt;$C$160-1,$C$193*$C$141*(1+$C$189)^H$10,0)</f>
        <v>0</v>
      </c>
      <c r="I49" s="28">
        <f>-IF(I$9&gt;$C$160-1,$C$193*$C$141*(1+$C$189)^I$10,0)</f>
        <v>0</v>
      </c>
      <c r="J49" s="28">
        <f>-IF(J$9&gt;$C$160-1,$C$193*$C$141*(1+$C$189)^J$10,0)</f>
        <v>0</v>
      </c>
      <c r="K49" s="28">
        <f>-IF(K$9&gt;$C$160-1,$C$193*$C$141*(1+$C$189)^K$10,0)</f>
        <v>0</v>
      </c>
      <c r="L49" s="28">
        <f>-IF(L$9&gt;$C$160-1,$C$193*$C$141*(1+$C$189)^L$10,0)</f>
        <v>0</v>
      </c>
      <c r="M49" s="28">
        <f>-IF(M$9&gt;$C$160-1,$C$193*$C$141*(1+$C$189)^M$10,0)</f>
        <v>0</v>
      </c>
      <c r="N49" s="28">
        <f>-IF(N$9&gt;$C$160-1,$C$193*$C$141*(1+$C$189)^N$10,0)</f>
        <v>0</v>
      </c>
      <c r="O49" s="20" t="s">
        <v>23</v>
      </c>
    </row>
    <row r="50" spans="1:15" s="1" customFormat="1" ht="15" customHeight="1">
      <c r="B50" s="26" t="s">
        <v>45</v>
      </c>
      <c r="C50" s="27">
        <f t="shared" si="16"/>
        <v>0</v>
      </c>
      <c r="D50" s="27"/>
      <c r="E50" s="28">
        <f>-IF(E$9&gt;$C$160-1,$C$194*$C$141*(1+$C$189)^E$10,0)</f>
        <v>0</v>
      </c>
      <c r="F50" s="28">
        <f>-IF(F$9&gt;$C$160-1,$C$194*$C$141*(1+$C$189)^F$10,0)</f>
        <v>0</v>
      </c>
      <c r="G50" s="28">
        <f>-IF(G$9&gt;$C$160-1,$C$194*$C$141*(1+$C$189)^G$10,0)</f>
        <v>0</v>
      </c>
      <c r="H50" s="28">
        <f>-IF(H$9&gt;$C$160-1,$C$194*$C$141*(1+$C$189)^H$10,0)</f>
        <v>0</v>
      </c>
      <c r="I50" s="28">
        <f>-IF(I$9&gt;$C$160-1,$C$194*$C$141*(1+$C$189)^I$10,0)</f>
        <v>0</v>
      </c>
      <c r="J50" s="28">
        <f>-IF(J$9&gt;$C$160-1,$C$194*$C$141*(1+$C$189)^J$10,0)</f>
        <v>0</v>
      </c>
      <c r="K50" s="28">
        <f>-IF(K$9&gt;$C$160-1,$C$194*$C$141*(1+$C$189)^K$10,0)</f>
        <v>0</v>
      </c>
      <c r="L50" s="28">
        <f>-IF(L$9&gt;$C$160-1,$C$194*$C$141*(1+$C$189)^L$10,0)</f>
        <v>0</v>
      </c>
      <c r="M50" s="28">
        <f>-IF(M$9&gt;$C$160-1,$C$194*$C$141*(1+$C$189)^M$10,0)</f>
        <v>0</v>
      </c>
      <c r="N50" s="28">
        <f>-IF(N$9&gt;$C$160-1,$C$194*$C$141*(1+$C$189)^N$10,0)</f>
        <v>0</v>
      </c>
      <c r="O50" s="20" t="s">
        <v>23</v>
      </c>
    </row>
    <row r="51" spans="1:15" ht="15" customHeight="1">
      <c r="A51" s="1"/>
      <c r="B51" s="26" t="s">
        <v>44</v>
      </c>
      <c r="C51" s="27">
        <f t="shared" ref="C51:C55" si="17">SUM(E51:N51)</f>
        <v>0</v>
      </c>
      <c r="D51" s="27"/>
      <c r="E51" s="28">
        <f>-IF(E$9&gt;$C$160-1,$C$195*$C$143*(1+$C$189)^E$10,0)</f>
        <v>0</v>
      </c>
      <c r="F51" s="28">
        <f>-IF(F$9&gt;$C$160-1,$C$195*$C$143*(1+$C$189)^F$10,0)</f>
        <v>0</v>
      </c>
      <c r="G51" s="28">
        <f>-IF(G$9&gt;$C$160-1,$C$195*$C$143*(1+$C$189)^G$10,0)</f>
        <v>0</v>
      </c>
      <c r="H51" s="28">
        <f>-IF(H$9&gt;$C$160-1,$C$195*$C$143*(1+$C$189)^H$10,0)</f>
        <v>0</v>
      </c>
      <c r="I51" s="28">
        <f>-IF(I$9&gt;$C$160-1,$C$195*$C$143*(1+$C$189)^I$10,0)</f>
        <v>0</v>
      </c>
      <c r="J51" s="28">
        <f>-IF(J$9&gt;$C$160-1,$C$195*$C$143*(1+$C$189)^J$10,0)</f>
        <v>0</v>
      </c>
      <c r="K51" s="28">
        <f>-IF(K$9&gt;$C$160-1,$C$195*$C$143*(1+$C$189)^K$10,0)</f>
        <v>0</v>
      </c>
      <c r="L51" s="28">
        <f>-IF(L$9&gt;$C$160-1,$C$195*$C$143*(1+$C$189)^L$10,0)</f>
        <v>0</v>
      </c>
      <c r="M51" s="28">
        <f>-IF(M$9&gt;$C$160-1,$C$195*$C$143*(1+$C$189)^M$10,0)</f>
        <v>0</v>
      </c>
      <c r="N51" s="28">
        <f>-IF(N$9&gt;$C$160-1,$C$195*$C$143*(1+$C$189)^N$10,0)</f>
        <v>0</v>
      </c>
      <c r="O51" s="20" t="s">
        <v>23</v>
      </c>
    </row>
    <row r="52" spans="1:15">
      <c r="B52" s="26" t="s">
        <v>45</v>
      </c>
      <c r="C52" s="27">
        <f t="shared" si="17"/>
        <v>0</v>
      </c>
      <c r="D52" s="27"/>
      <c r="E52" s="28">
        <f>-IF(E$9&gt;$C$160-1,$C$196*$C$143*(1+$C$189)^E$10,0)</f>
        <v>0</v>
      </c>
      <c r="F52" s="28">
        <f>-IF(F$9&gt;$C$160-1,$C$196*$C$143*(1+$C$189)^F$10,0)</f>
        <v>0</v>
      </c>
      <c r="G52" s="28">
        <f>-IF(G$9&gt;$C$160-1,$C$196*$C$143*(1+$C$189)^G$10,0)</f>
        <v>0</v>
      </c>
      <c r="H52" s="28">
        <f>-IF(H$9&gt;$C$160-1,$C$196*$C$143*(1+$C$189)^H$10,0)</f>
        <v>0</v>
      </c>
      <c r="I52" s="28">
        <f>-IF(I$9&gt;$C$160-1,$C$196*$C$143*(1+$C$189)^I$10,0)</f>
        <v>0</v>
      </c>
      <c r="J52" s="28">
        <f>-IF(J$9&gt;$C$160-1,$C$196*$C$143*(1+$C$189)^J$10,0)</f>
        <v>0</v>
      </c>
      <c r="K52" s="28">
        <f>-IF(K$9&gt;$C$160-1,$C$196*$C$143*(1+$C$189)^K$10,0)</f>
        <v>0</v>
      </c>
      <c r="L52" s="28">
        <f>-IF(L$9&gt;$C$160-1,$C$196*$C$143*(1+$C$189)^L$10,0)</f>
        <v>0</v>
      </c>
      <c r="M52" s="28">
        <f>-IF(M$9&gt;$C$160-1,$C$196*$C$143*(1+$C$189)^M$10,0)</f>
        <v>0</v>
      </c>
      <c r="N52" s="28">
        <f>-IF(N$9&gt;$C$160-1,$C$196*$C$143*(1+$C$189)^N$10,0)</f>
        <v>0</v>
      </c>
      <c r="O52" s="20" t="s">
        <v>23</v>
      </c>
    </row>
    <row r="53" spans="1:15">
      <c r="B53" s="33" t="str">
        <f>"Total "&amp;B30</f>
        <v>Total Net Operating Income (NOI - show through Year 9)</v>
      </c>
      <c r="C53" s="34">
        <f>SUM(E53:N53)</f>
        <v>442948023.38411939</v>
      </c>
      <c r="D53" s="34"/>
      <c r="E53" s="35">
        <f>IF(E$9&lt;=($C$198+1), SUM(E31,E33,E35,E37,E39,E41,E43,E45,E51,E52),0)</f>
        <v>0</v>
      </c>
      <c r="F53" s="35">
        <f>IF(F$9&lt;=($C$198+1), SUM(F31,F33,F35,F37,F39,F41,F43,F45,F51,F52),0)</f>
        <v>0</v>
      </c>
      <c r="G53" s="35">
        <f>IF(G$9&lt;=($C$198+1), SUM(G31,G33,G35,G37,G39,G41,G43,G45,G51,G52),0)</f>
        <v>0</v>
      </c>
      <c r="H53" s="35">
        <f>IF(H$9&lt;=($C$198+1), SUM(H31,H33,H35,H37,H39,H41,H43,H45,H51,H52),0)</f>
        <v>41620855.173404932</v>
      </c>
      <c r="I53" s="35">
        <f>IF(I$9&lt;=($C$198+1), SUM(I31,I33,I35,I37,I39,I41,I43,I45,I51,I52),0)</f>
        <v>76351233.949272096</v>
      </c>
      <c r="J53" s="35">
        <f>IF(J$9&lt;=($C$198+1), SUM(J31,J33,J35,J37,J39,J41,J43,J45,J51,J52),0)</f>
        <v>78260014.798003897</v>
      </c>
      <c r="K53" s="35">
        <f>IF(K$9&lt;=($C$198+1), SUM(K31,K33,K35,K37,K39,K41,K43,K45,K51,K52),0)</f>
        <v>80216515.167953983</v>
      </c>
      <c r="L53" s="35">
        <f>IF(L$9&lt;=($C$198+1), SUM(L31,L33,L35,L37,L39,L41,L43,L45,L51,L52),0)</f>
        <v>82221928.047152847</v>
      </c>
      <c r="M53" s="35">
        <f>IF(M$9&lt;=($C$198+1), SUM(M31,M33,M35,M37,M39,M41,M43,M45,M51,M52),0)</f>
        <v>84277476.248331651</v>
      </c>
      <c r="N53" s="35">
        <f>IF(N$9&lt;=($C$198+1), SUM(N31,N33,N35,N37,N39,N41,N43,N45,N51,N52),0)</f>
        <v>0</v>
      </c>
      <c r="O53" s="20" t="s">
        <v>23</v>
      </c>
    </row>
    <row r="54" spans="1:15" s="25" customFormat="1">
      <c r="A54" s="20"/>
      <c r="B54" s="36" t="s">
        <v>46</v>
      </c>
      <c r="C54" s="37">
        <f t="shared" si="17"/>
        <v>358670547.13578773</v>
      </c>
      <c r="D54" s="37"/>
      <c r="E54" s="38">
        <f>IF(E$9&lt;=$C$198,E53,0)</f>
        <v>0</v>
      </c>
      <c r="F54" s="38">
        <f>IF(F$9&lt;=$C$198,F53,0)</f>
        <v>0</v>
      </c>
      <c r="G54" s="38">
        <f>IF(G$9&lt;=$C$198,G53,0)</f>
        <v>0</v>
      </c>
      <c r="H54" s="38">
        <f>IF(H$9&lt;=$C$198,H53,0)</f>
        <v>41620855.173404932</v>
      </c>
      <c r="I54" s="38">
        <f>IF(I$9&lt;=$C$198,I53,0)</f>
        <v>76351233.949272096</v>
      </c>
      <c r="J54" s="38">
        <f>IF(J$9&lt;=$C$198,J53,0)</f>
        <v>78260014.798003897</v>
      </c>
      <c r="K54" s="38">
        <f>IF(K$9&lt;=$C$198,K53,0)</f>
        <v>80216515.167953983</v>
      </c>
      <c r="L54" s="38">
        <f>IF(L$9&lt;=$C$198,L53,0)</f>
        <v>82221928.047152847</v>
      </c>
      <c r="M54" s="38">
        <f>IF(M$9&lt;=$C$198,M53,0)</f>
        <v>0</v>
      </c>
      <c r="N54" s="38">
        <f>IF(N$9&lt;=$C$198,N53,0)</f>
        <v>0</v>
      </c>
      <c r="O54" s="20" t="s">
        <v>23</v>
      </c>
    </row>
    <row r="55" spans="1:15" s="39" customFormat="1">
      <c r="B55" s="40" t="s">
        <v>47</v>
      </c>
      <c r="C55" s="41">
        <f t="shared" si="17"/>
        <v>76351233.949272096</v>
      </c>
      <c r="D55" s="41"/>
      <c r="E55" s="41" t="b">
        <f>IF(E$9=$C$186,E54)</f>
        <v>0</v>
      </c>
      <c r="F55" s="41" t="b">
        <f>IF(F$9=$C$186,F54)</f>
        <v>0</v>
      </c>
      <c r="G55" s="41" t="b">
        <f>IF(G$9=$C$186,G54)</f>
        <v>0</v>
      </c>
      <c r="H55" s="41" t="b">
        <f>IF(H$9=$C$186,H54)</f>
        <v>0</v>
      </c>
      <c r="I55" s="41">
        <f>IF(I$9=$C$186,I54)</f>
        <v>76351233.949272096</v>
      </c>
      <c r="J55" s="41" t="b">
        <f>IF(J$9=$C$186,J54)</f>
        <v>0</v>
      </c>
      <c r="K55" s="41" t="b">
        <f>IF(K$9=$C$186,K54)</f>
        <v>0</v>
      </c>
      <c r="L55" s="41" t="b">
        <f>IF(L$9=$C$186,L54)</f>
        <v>0</v>
      </c>
      <c r="M55" s="41" t="b">
        <f>IF(M$9=$C$186,M54)</f>
        <v>0</v>
      </c>
      <c r="N55" s="41" t="b">
        <f>IF(N$9=$C$186,N54)</f>
        <v>0</v>
      </c>
      <c r="O55" s="39" t="s">
        <v>23</v>
      </c>
    </row>
    <row r="56" spans="1:15" s="1" customFormat="1" ht="6.95">
      <c r="O56" s="1" t="s">
        <v>23</v>
      </c>
    </row>
    <row r="57" spans="1:15">
      <c r="B57" s="25" t="s">
        <v>48</v>
      </c>
      <c r="C57" s="25"/>
      <c r="D57" s="25"/>
      <c r="O57" s="20" t="s">
        <v>23</v>
      </c>
    </row>
    <row r="58" spans="1:15">
      <c r="B58" s="26" t="s">
        <v>49</v>
      </c>
      <c r="C58" s="27">
        <f t="shared" ref="C58:C59" si="18">SUM(E58:N58)</f>
        <v>0</v>
      </c>
      <c r="D58" s="27"/>
      <c r="E58" s="28">
        <f>-IF(E$9=$C$181,$C$162*$C$141*(1+$C$189)^E$10,0)</f>
        <v>0</v>
      </c>
      <c r="F58" s="28">
        <f>-IF(F$9=$C$181,$C$162*$C$141*(1+$C$189)^F$10,0)</f>
        <v>0</v>
      </c>
      <c r="G58" s="28">
        <f>-IF(G$9=$C$181,$C$162*$C$141*(1+$C$189)^G$10,0)</f>
        <v>0</v>
      </c>
      <c r="H58" s="28">
        <f>-IF(H$9=$C$181,$C$162*$C$141*(1+$C$189)^H$10,0)</f>
        <v>0</v>
      </c>
      <c r="I58" s="28">
        <f>-IF(I$9=$C$181,$C$162*$C$141*(1+$C$189)^I$10,0)</f>
        <v>0</v>
      </c>
      <c r="J58" s="28">
        <f>-IF(J$9=$C$181,$C$162*$C$141*(1+$C$189)^J$10,0)</f>
        <v>0</v>
      </c>
      <c r="K58" s="28">
        <f>-IF(K$9=$C$181,$C$162*$C$141*(1+$C$189)^K$10,0)</f>
        <v>0</v>
      </c>
      <c r="L58" s="28">
        <f>-IF(L$9=$C$181,$C$162*$C$141*(1+$C$189)^L$10,0)</f>
        <v>0</v>
      </c>
      <c r="M58" s="28">
        <f>-IF(M$9=$C$181,$C$162*$C$141*(1+$C$189)^M$10,0)</f>
        <v>0</v>
      </c>
      <c r="N58" s="28">
        <f>-IF(N$9=$C$181,$C$162*$C$141*(1+$C$189)^N$10,0)</f>
        <v>0</v>
      </c>
      <c r="O58" s="20" t="s">
        <v>23</v>
      </c>
    </row>
    <row r="59" spans="1:15">
      <c r="B59" s="26" t="s">
        <v>50</v>
      </c>
      <c r="C59" s="27">
        <f t="shared" si="18"/>
        <v>0</v>
      </c>
      <c r="D59" s="27"/>
      <c r="E59" s="28">
        <f>-IF(E$9=$C$181,$C$163*$C$141*(1+$C$189)^E$10,0)</f>
        <v>0</v>
      </c>
      <c r="F59" s="28">
        <f>-IF(F$9=$C$181,$C$163*$C$141*(1+$C$189)^F$10,0)</f>
        <v>0</v>
      </c>
      <c r="G59" s="28">
        <f>-IF(G$9=$C$181,$C$163*$C$141*(1+$C$189)^G$10,0)</f>
        <v>0</v>
      </c>
      <c r="H59" s="28">
        <f>-IF(H$9=$C$181,$C$163*$C$141*(1+$C$189)^H$10,0)</f>
        <v>0</v>
      </c>
      <c r="I59" s="28">
        <f>-IF(I$9=$C$181,$C$163*$C$141*(1+$C$189)^I$10,0)</f>
        <v>0</v>
      </c>
      <c r="J59" s="28">
        <f>-IF(J$9=$C$181,$C$163*$C$141*(1+$C$189)^J$10,0)</f>
        <v>0</v>
      </c>
      <c r="K59" s="28">
        <f>-IF(K$9=$C$181,$C$163*$C$141*(1+$C$189)^K$10,0)</f>
        <v>0</v>
      </c>
      <c r="L59" s="28">
        <f>-IF(L$9=$C$181,$C$163*$C$141*(1+$C$189)^L$10,0)</f>
        <v>0</v>
      </c>
      <c r="M59" s="28">
        <f>-IF(M$9=$C$181,$C$163*$C$141*(1+$C$189)^M$10,0)</f>
        <v>0</v>
      </c>
      <c r="N59" s="28">
        <f>-IF(N$9=$C$181,$C$163*$C$141*(1+$C$189)^N$10,0)</f>
        <v>0</v>
      </c>
      <c r="O59" s="20" t="s">
        <v>23</v>
      </c>
    </row>
    <row r="60" spans="1:15">
      <c r="A60" s="1"/>
      <c r="B60" s="26" t="s">
        <v>51</v>
      </c>
      <c r="C60" s="27">
        <f t="shared" ref="C60:C61" si="19">SUM(E60:N60)</f>
        <v>-24161137.360379998</v>
      </c>
      <c r="D60" s="27"/>
      <c r="E60" s="28">
        <f>-IF(E$9=$C$181,$C$164*$C$143*(1+$C$189)^E$10,0)</f>
        <v>0</v>
      </c>
      <c r="F60" s="28">
        <f>-IF(F$9=$C$181,$C$164*$C$143*(1+$C$189)^F$10,0)</f>
        <v>0</v>
      </c>
      <c r="G60" s="28">
        <f>-IF(G$9=$C$181,$C$164*$C$143*(1+$C$189)^G$10,0)</f>
        <v>0</v>
      </c>
      <c r="H60" s="28">
        <f>-IF(H$9=$C$181,$C$164*$C$143*(1+$C$189)^H$10,0)</f>
        <v>-24161137.360379998</v>
      </c>
      <c r="I60" s="28">
        <f>-IF(I$9=$C$181,$C$164*$C$143*(1+$C$189)^I$10,0)</f>
        <v>0</v>
      </c>
      <c r="J60" s="28">
        <f>-IF(J$9=$C$181,$C$164*$C$143*(1+$C$189)^J$10,0)</f>
        <v>0</v>
      </c>
      <c r="K60" s="28">
        <f>-IF(K$9=$C$181,$C$164*$C$143*(1+$C$189)^K$10,0)</f>
        <v>0</v>
      </c>
      <c r="L60" s="28">
        <f>-IF(L$9=$C$181,$C$164*$C$143*(1+$C$189)^L$10,0)</f>
        <v>0</v>
      </c>
      <c r="M60" s="28">
        <f>-IF(M$9=$C$181,$C$164*$C$143*(1+$C$189)^M$10,0)</f>
        <v>0</v>
      </c>
      <c r="N60" s="28">
        <f>-IF(N$9=$C$181,$C$164*$C$143*(1+$C$189)^N$10,0)</f>
        <v>0</v>
      </c>
      <c r="O60" s="20" t="s">
        <v>23</v>
      </c>
    </row>
    <row r="61" spans="1:15">
      <c r="A61" s="1"/>
      <c r="B61" s="26" t="s">
        <v>52</v>
      </c>
      <c r="C61" s="27">
        <f t="shared" si="19"/>
        <v>-9060426.5101424996</v>
      </c>
      <c r="D61" s="27"/>
      <c r="E61" s="28">
        <f>-IF(E$9=$C$181,$C$165*$C$143*(1+$C$189)^E$10,0)</f>
        <v>0</v>
      </c>
      <c r="F61" s="28">
        <f>-IF(F$9=$C$181,$C$165*$C$143*(1+$C$189)^F$10,0)</f>
        <v>0</v>
      </c>
      <c r="G61" s="28">
        <f>-IF(G$9=$C$181,$C$165*$C$143*(1+$C$189)^G$10,0)</f>
        <v>0</v>
      </c>
      <c r="H61" s="28">
        <f>-IF(H$9=$C$181,$C$165*$C$143*(1+$C$189)^H$10,0)</f>
        <v>-9060426.5101424996</v>
      </c>
      <c r="I61" s="28">
        <f>-IF(I$9=$C$181,$C$165*$C$143*(1+$C$189)^I$10,0)</f>
        <v>0</v>
      </c>
      <c r="J61" s="28">
        <f>-IF(J$9=$C$181,$C$165*$C$143*(1+$C$189)^J$10,0)</f>
        <v>0</v>
      </c>
      <c r="K61" s="28">
        <f>-IF(K$9=$C$181,$C$165*$C$143*(1+$C$189)^K$10,0)</f>
        <v>0</v>
      </c>
      <c r="L61" s="28">
        <f>-IF(L$9=$C$181,$C$165*$C$143*(1+$C$189)^L$10,0)</f>
        <v>0</v>
      </c>
      <c r="M61" s="28">
        <f>-IF(M$9=$C$181,$C$165*$C$143*(1+$C$189)^M$10,0)</f>
        <v>0</v>
      </c>
      <c r="N61" s="28">
        <f>-IF(N$9=$C$181,$C$165*$C$143*(1+$C$189)^N$10,0)</f>
        <v>0</v>
      </c>
      <c r="O61" s="20" t="s">
        <v>23</v>
      </c>
    </row>
    <row r="62" spans="1:15" s="25" customFormat="1">
      <c r="A62" s="20"/>
      <c r="B62" s="29" t="str">
        <f>"Total "&amp;B57</f>
        <v>Total Tenant Improvements and Leasing Commissions</v>
      </c>
      <c r="C62" s="30">
        <f>SUM(E62:N62)</f>
        <v>-33221563.870522499</v>
      </c>
      <c r="D62" s="30"/>
      <c r="E62" s="42">
        <f>SUM(E60:E61)</f>
        <v>0</v>
      </c>
      <c r="F62" s="42">
        <f t="shared" ref="F62:N62" si="20">SUM(F60:F61)</f>
        <v>0</v>
      </c>
      <c r="G62" s="42">
        <f t="shared" si="20"/>
        <v>0</v>
      </c>
      <c r="H62" s="42">
        <f t="shared" si="20"/>
        <v>-33221563.870522499</v>
      </c>
      <c r="I62" s="42">
        <f t="shared" si="20"/>
        <v>0</v>
      </c>
      <c r="J62" s="42">
        <f t="shared" si="20"/>
        <v>0</v>
      </c>
      <c r="K62" s="42">
        <f t="shared" si="20"/>
        <v>0</v>
      </c>
      <c r="L62" s="42">
        <f t="shared" si="20"/>
        <v>0</v>
      </c>
      <c r="M62" s="42">
        <f t="shared" si="20"/>
        <v>0</v>
      </c>
      <c r="N62" s="42">
        <f t="shared" si="20"/>
        <v>0</v>
      </c>
      <c r="O62" s="20" t="s">
        <v>23</v>
      </c>
    </row>
    <row r="63" spans="1:15" s="1" customFormat="1" ht="6.95">
      <c r="O63" s="1" t="s">
        <v>23</v>
      </c>
    </row>
    <row r="64" spans="1:15">
      <c r="A64" s="1"/>
      <c r="B64" s="25" t="s">
        <v>53</v>
      </c>
      <c r="C64" s="25"/>
      <c r="D64" s="25"/>
      <c r="O64" s="20" t="s">
        <v>23</v>
      </c>
    </row>
    <row r="65" spans="1:15">
      <c r="B65" s="26" t="s">
        <v>54</v>
      </c>
      <c r="C65" s="27">
        <f>SUM(E65:N65)</f>
        <v>1404624604.1388609</v>
      </c>
      <c r="D65" s="27"/>
      <c r="E65" s="28">
        <f>IF(E$9=$C$198, F$53/$C$199,0)</f>
        <v>0</v>
      </c>
      <c r="F65" s="28">
        <f>IF(F$9=$C$198, G$53/$C$199,0)</f>
        <v>0</v>
      </c>
      <c r="G65" s="28">
        <f>IF(G$9=$C$198, H$53/$C$199,0)</f>
        <v>0</v>
      </c>
      <c r="H65" s="28">
        <f>IF(H$9=$C$198, I$53/$C$199,0)</f>
        <v>0</v>
      </c>
      <c r="I65" s="28">
        <f>IF(I$9=$C$198, J$53/$C$199,0)</f>
        <v>0</v>
      </c>
      <c r="J65" s="28">
        <f>IF(J$9=$C$198, K$53/$C$199,0)</f>
        <v>0</v>
      </c>
      <c r="K65" s="28">
        <f>IF(K$9=$C$198, L$53/$C$199,0)</f>
        <v>0</v>
      </c>
      <c r="L65" s="28">
        <f>IF(L$9=$C$198, M$53/$C$199,0)</f>
        <v>1404624604.1388609</v>
      </c>
      <c r="M65" s="28">
        <f>IF(M$9=$C$198, N$53/$C$199,0)</f>
        <v>0</v>
      </c>
      <c r="N65" s="28">
        <f>IF(N$9=$C$198, O$53/$C$199,0)</f>
        <v>0</v>
      </c>
      <c r="O65" s="20" t="s">
        <v>23</v>
      </c>
    </row>
    <row r="66" spans="1:15">
      <c r="B66" s="26" t="s">
        <v>55</v>
      </c>
      <c r="C66" s="27">
        <f>SUM(E66:N66)</f>
        <v>-70231230.20694305</v>
      </c>
      <c r="D66" s="27"/>
      <c r="E66" s="28">
        <f>-$C$200*E65</f>
        <v>0</v>
      </c>
      <c r="F66" s="28">
        <f t="shared" ref="F66:N66" si="21">-$C$200*F65</f>
        <v>0</v>
      </c>
      <c r="G66" s="28">
        <f t="shared" si="21"/>
        <v>0</v>
      </c>
      <c r="H66" s="28">
        <f t="shared" si="21"/>
        <v>0</v>
      </c>
      <c r="I66" s="28">
        <f t="shared" si="21"/>
        <v>0</v>
      </c>
      <c r="J66" s="28">
        <f t="shared" si="21"/>
        <v>0</v>
      </c>
      <c r="K66" s="28">
        <f t="shared" si="21"/>
        <v>0</v>
      </c>
      <c r="L66" s="28">
        <f>-$C$200*L65</f>
        <v>-70231230.20694305</v>
      </c>
      <c r="M66" s="28">
        <f t="shared" si="21"/>
        <v>0</v>
      </c>
      <c r="N66" s="28">
        <f t="shared" si="21"/>
        <v>0</v>
      </c>
      <c r="O66" s="20" t="s">
        <v>23</v>
      </c>
    </row>
    <row r="67" spans="1:15" s="25" customFormat="1">
      <c r="A67" s="20"/>
      <c r="B67" s="29" t="str">
        <f>"Total Proceeds from "&amp;B64</f>
        <v>Total Proceeds from Exit Sale</v>
      </c>
      <c r="C67" s="30">
        <f>SUM(E67:N67)</f>
        <v>1334393373.9319179</v>
      </c>
      <c r="D67" s="30"/>
      <c r="E67" s="42">
        <f>SUM(E65:E66)</f>
        <v>0</v>
      </c>
      <c r="F67" s="42">
        <f t="shared" ref="F67:N67" si="22">SUM(F65:F66)</f>
        <v>0</v>
      </c>
      <c r="G67" s="42">
        <f t="shared" si="22"/>
        <v>0</v>
      </c>
      <c r="H67" s="42">
        <f t="shared" si="22"/>
        <v>0</v>
      </c>
      <c r="I67" s="42">
        <f t="shared" si="22"/>
        <v>0</v>
      </c>
      <c r="J67" s="42">
        <f t="shared" si="22"/>
        <v>0</v>
      </c>
      <c r="K67" s="42">
        <f t="shared" si="22"/>
        <v>0</v>
      </c>
      <c r="L67" s="42">
        <f t="shared" si="22"/>
        <v>1334393373.9319179</v>
      </c>
      <c r="M67" s="42">
        <f t="shared" si="22"/>
        <v>0</v>
      </c>
      <c r="N67" s="42">
        <f t="shared" si="22"/>
        <v>0</v>
      </c>
      <c r="O67" s="20" t="s">
        <v>23</v>
      </c>
    </row>
    <row r="68" spans="1:15" s="1" customFormat="1" ht="6.95">
      <c r="C68" s="43"/>
      <c r="O68" s="1" t="s">
        <v>23</v>
      </c>
    </row>
    <row r="69" spans="1:15">
      <c r="A69" s="1"/>
      <c r="B69" s="5" t="s">
        <v>56</v>
      </c>
      <c r="C69" s="44">
        <f>SUM(E69:N69)</f>
        <v>1168508725.1971831</v>
      </c>
      <c r="D69" s="45"/>
      <c r="E69" s="46">
        <f t="shared" ref="E69:N69" si="23">IF(E9&gt;$C$198,0,SUM(E67,E62,E54,E28))</f>
        <v>-14500000</v>
      </c>
      <c r="F69" s="46">
        <f t="shared" si="23"/>
        <v>-238416816</v>
      </c>
      <c r="G69" s="46">
        <f t="shared" si="23"/>
        <v>-238416816</v>
      </c>
      <c r="H69" s="46">
        <f t="shared" si="23"/>
        <v>8399291.3028824329</v>
      </c>
      <c r="I69" s="46">
        <f t="shared" si="23"/>
        <v>76351233.949272096</v>
      </c>
      <c r="J69" s="46">
        <f t="shared" si="23"/>
        <v>78260014.798003897</v>
      </c>
      <c r="K69" s="46">
        <f t="shared" si="23"/>
        <v>80216515.167953983</v>
      </c>
      <c r="L69" s="46">
        <f t="shared" si="23"/>
        <v>1416615301.9790707</v>
      </c>
      <c r="M69" s="46">
        <f t="shared" si="23"/>
        <v>0</v>
      </c>
      <c r="N69" s="46">
        <f t="shared" si="23"/>
        <v>0</v>
      </c>
      <c r="O69" s="20" t="s">
        <v>23</v>
      </c>
    </row>
    <row r="70" spans="1:15" s="49" customFormat="1">
      <c r="A70" s="20"/>
      <c r="B70" s="47" t="s">
        <v>57</v>
      </c>
      <c r="C70" s="45">
        <f>SUM(E70:N70)</f>
        <v>97166692.673279852</v>
      </c>
      <c r="D70" s="45"/>
      <c r="E70" s="48">
        <f>E69/(1+$C$202)^(E$9)</f>
        <v>-12083333.333333334</v>
      </c>
      <c r="F70" s="48">
        <f>F69/(1+$C$202)^(F$9)</f>
        <v>-165567233.33333334</v>
      </c>
      <c r="G70" s="48">
        <f>G69/(1+$C$202)^(G$9)</f>
        <v>-137972694.44444445</v>
      </c>
      <c r="H70" s="48">
        <f>H69/(1+$C$202)^(H$9)</f>
        <v>4050584.1545536425</v>
      </c>
      <c r="I70" s="48">
        <f>I69/(1+$C$202)^(I$9)</f>
        <v>30683848.519994251</v>
      </c>
      <c r="J70" s="48">
        <f>J69/(1+$C$202)^(J$9)</f>
        <v>26209120.610828426</v>
      </c>
      <c r="K70" s="48">
        <f>K69/(1+$C$202)^(K$9)</f>
        <v>22386957.188415945</v>
      </c>
      <c r="L70" s="48">
        <f>L69/(1+$C$202)^(L$9)</f>
        <v>329459443.31059873</v>
      </c>
      <c r="M70" s="48">
        <f>M69/(1+$C$202)^(M$9)</f>
        <v>0</v>
      </c>
      <c r="N70" s="48">
        <f>N69/(1+$C$202)^(N$9)</f>
        <v>0</v>
      </c>
      <c r="O70" s="49" t="s">
        <v>23</v>
      </c>
    </row>
    <row r="71" spans="1:15">
      <c r="O71" s="20" t="s">
        <v>23</v>
      </c>
    </row>
    <row r="72" spans="1:15">
      <c r="B72" s="22" t="s">
        <v>58</v>
      </c>
      <c r="O72" s="20" t="s">
        <v>23</v>
      </c>
    </row>
    <row r="73" spans="1:15">
      <c r="B73" s="5" t="s">
        <v>21</v>
      </c>
      <c r="C73" s="23" t="s">
        <v>22</v>
      </c>
      <c r="D73" s="23"/>
      <c r="E73" s="24">
        <v>1</v>
      </c>
      <c r="F73" s="24">
        <f>E73+1</f>
        <v>2</v>
      </c>
      <c r="G73" s="24">
        <f t="shared" ref="G73:N73" si="24">F73+1</f>
        <v>3</v>
      </c>
      <c r="H73" s="24">
        <f t="shared" si="24"/>
        <v>4</v>
      </c>
      <c r="I73" s="24">
        <f t="shared" si="24"/>
        <v>5</v>
      </c>
      <c r="J73" s="24">
        <f t="shared" si="24"/>
        <v>6</v>
      </c>
      <c r="K73" s="24">
        <f t="shared" si="24"/>
        <v>7</v>
      </c>
      <c r="L73" s="24">
        <f t="shared" si="24"/>
        <v>8</v>
      </c>
      <c r="M73" s="24">
        <f t="shared" si="24"/>
        <v>9</v>
      </c>
      <c r="N73" s="24">
        <f t="shared" si="24"/>
        <v>10</v>
      </c>
      <c r="O73" s="20" t="s">
        <v>23</v>
      </c>
    </row>
    <row r="74" spans="1:15" s="1" customFormat="1" ht="6.95">
      <c r="O74" s="1" t="s">
        <v>23</v>
      </c>
    </row>
    <row r="75" spans="1:15">
      <c r="B75" s="25" t="s">
        <v>59</v>
      </c>
      <c r="C75" s="25"/>
      <c r="D75" s="25"/>
      <c r="O75" s="20" t="s">
        <v>23</v>
      </c>
    </row>
    <row r="76" spans="1:15" s="1" customFormat="1" ht="6.95">
      <c r="O76" s="1" t="s">
        <v>23</v>
      </c>
    </row>
    <row r="77" spans="1:15">
      <c r="A77" s="1"/>
      <c r="B77" s="26" t="s">
        <v>60</v>
      </c>
      <c r="C77" s="27"/>
      <c r="D77" s="27"/>
      <c r="E77" s="28">
        <v>0</v>
      </c>
      <c r="F77" s="28">
        <f>E80</f>
        <v>0</v>
      </c>
      <c r="G77" s="28">
        <f t="shared" ref="G77:N77" si="25">F80</f>
        <v>12545000</v>
      </c>
      <c r="H77" s="28">
        <f t="shared" si="25"/>
        <v>25090000</v>
      </c>
      <c r="I77" s="28">
        <f t="shared" si="25"/>
        <v>25090000</v>
      </c>
      <c r="J77" s="28">
        <f t="shared" si="25"/>
        <v>0</v>
      </c>
      <c r="K77" s="28">
        <f t="shared" si="25"/>
        <v>0</v>
      </c>
      <c r="L77" s="28">
        <f t="shared" si="25"/>
        <v>0</v>
      </c>
      <c r="M77" s="28">
        <f t="shared" si="25"/>
        <v>0</v>
      </c>
      <c r="N77" s="28">
        <f t="shared" si="25"/>
        <v>0</v>
      </c>
      <c r="O77" s="20" t="s">
        <v>23</v>
      </c>
    </row>
    <row r="78" spans="1:15">
      <c r="A78" s="1"/>
      <c r="B78" s="26" t="s">
        <v>61</v>
      </c>
      <c r="C78" s="27">
        <f>SUM(E78:N78)</f>
        <v>25090000</v>
      </c>
      <c r="D78" s="27"/>
      <c r="E78" s="28">
        <f>IF((E26+E27)&lt;0,(1/$C$159)*$C$237,0)</f>
        <v>0</v>
      </c>
      <c r="F78" s="28">
        <f>IF((F26+F27)&lt;0,(1/$C$159)*$C$237,0)</f>
        <v>12545000</v>
      </c>
      <c r="G78" s="28">
        <f>IF((G26+G27)&lt;0,(1/$C$159)*$C$237,0)</f>
        <v>12545000</v>
      </c>
      <c r="H78" s="28">
        <f>IF((H26+H27)&lt;0,(1/$C$159)*$C$237,0)</f>
        <v>0</v>
      </c>
      <c r="I78" s="28">
        <f>IF((I26+I27)&lt;0,(1/$C$159)*$C$237,0)</f>
        <v>0</v>
      </c>
      <c r="J78" s="28">
        <f>IF((J26+J27)&lt;0,(1/$C$159)*$C$237,0)</f>
        <v>0</v>
      </c>
      <c r="K78" s="28">
        <f>IF((K26+K27)&lt;0,(1/$C$159)*$C$237,0)</f>
        <v>0</v>
      </c>
      <c r="L78" s="28">
        <f>IF((L26+L27)&lt;0,(1/$C$159)*$C$237,0)</f>
        <v>0</v>
      </c>
      <c r="M78" s="28">
        <f>IF((M26+M27)&lt;0,(1/$C$159)*$C$237,0)</f>
        <v>0</v>
      </c>
      <c r="N78" s="28">
        <f>IF((N26+N27)&lt;0,(1/$C$159)*$C$237,0)</f>
        <v>0</v>
      </c>
      <c r="O78" s="20" t="s">
        <v>23</v>
      </c>
    </row>
    <row r="79" spans="1:15">
      <c r="A79" s="1"/>
      <c r="B79" s="26" t="s">
        <v>62</v>
      </c>
      <c r="C79" s="27">
        <f>SUM(E79:N79)</f>
        <v>-25090000</v>
      </c>
      <c r="D79" s="27"/>
      <c r="E79" s="28">
        <f t="shared" ref="E79:N79" si="26">-IF(E9=$C$186,E77,0)</f>
        <v>0</v>
      </c>
      <c r="F79" s="28">
        <f t="shared" si="26"/>
        <v>0</v>
      </c>
      <c r="G79" s="28">
        <f t="shared" si="26"/>
        <v>0</v>
      </c>
      <c r="H79" s="28">
        <f t="shared" si="26"/>
        <v>0</v>
      </c>
      <c r="I79" s="28">
        <f t="shared" si="26"/>
        <v>-25090000</v>
      </c>
      <c r="J79" s="28">
        <f t="shared" si="26"/>
        <v>0</v>
      </c>
      <c r="K79" s="28">
        <f t="shared" si="26"/>
        <v>0</v>
      </c>
      <c r="L79" s="28">
        <f t="shared" si="26"/>
        <v>0</v>
      </c>
      <c r="M79" s="28">
        <f t="shared" si="26"/>
        <v>0</v>
      </c>
      <c r="N79" s="28">
        <f t="shared" si="26"/>
        <v>0</v>
      </c>
      <c r="O79" s="20" t="s">
        <v>23</v>
      </c>
    </row>
    <row r="80" spans="1:15">
      <c r="A80" s="1"/>
      <c r="B80" s="26" t="s">
        <v>63</v>
      </c>
      <c r="C80" s="27"/>
      <c r="D80" s="27"/>
      <c r="E80" s="50">
        <f t="shared" ref="E80:N80" si="27">SUM(E77:E79)</f>
        <v>0</v>
      </c>
      <c r="F80" s="50">
        <f t="shared" si="27"/>
        <v>12545000</v>
      </c>
      <c r="G80" s="50">
        <f t="shared" si="27"/>
        <v>25090000</v>
      </c>
      <c r="H80" s="50">
        <f t="shared" si="27"/>
        <v>25090000</v>
      </c>
      <c r="I80" s="50">
        <f t="shared" si="27"/>
        <v>0</v>
      </c>
      <c r="J80" s="50">
        <f t="shared" si="27"/>
        <v>0</v>
      </c>
      <c r="K80" s="50">
        <f t="shared" si="27"/>
        <v>0</v>
      </c>
      <c r="L80" s="50">
        <f t="shared" si="27"/>
        <v>0</v>
      </c>
      <c r="M80" s="50">
        <f t="shared" si="27"/>
        <v>0</v>
      </c>
      <c r="N80" s="50">
        <f t="shared" si="27"/>
        <v>0</v>
      </c>
      <c r="O80" s="20" t="s">
        <v>23</v>
      </c>
    </row>
    <row r="81" spans="1:15" s="1" customFormat="1" ht="6.95">
      <c r="O81" s="1" t="s">
        <v>23</v>
      </c>
    </row>
    <row r="82" spans="1:15">
      <c r="A82" s="1"/>
      <c r="B82" s="26" t="s">
        <v>64</v>
      </c>
      <c r="C82" s="27">
        <f>SUM(E82:N82)</f>
        <v>-3920312.5</v>
      </c>
      <c r="D82" s="27"/>
      <c r="E82" s="28">
        <f t="shared" ref="E82:N82" si="28">-IF(E73&lt;$C$186,E80*$C$235,0)</f>
        <v>0</v>
      </c>
      <c r="F82" s="28">
        <f t="shared" si="28"/>
        <v>-784062.5</v>
      </c>
      <c r="G82" s="28">
        <f t="shared" si="28"/>
        <v>-1568125</v>
      </c>
      <c r="H82" s="28">
        <f t="shared" si="28"/>
        <v>-1568125</v>
      </c>
      <c r="I82" s="28">
        <f t="shared" si="28"/>
        <v>0</v>
      </c>
      <c r="J82" s="28">
        <f t="shared" si="28"/>
        <v>0</v>
      </c>
      <c r="K82" s="28">
        <f t="shared" si="28"/>
        <v>0</v>
      </c>
      <c r="L82" s="28">
        <f t="shared" si="28"/>
        <v>0</v>
      </c>
      <c r="M82" s="28">
        <f t="shared" si="28"/>
        <v>0</v>
      </c>
      <c r="N82" s="28">
        <f t="shared" si="28"/>
        <v>0</v>
      </c>
      <c r="O82" s="20" t="s">
        <v>23</v>
      </c>
    </row>
    <row r="83" spans="1:15" s="1" customFormat="1" ht="6.95">
      <c r="O83" s="1" t="s">
        <v>23</v>
      </c>
    </row>
    <row r="84" spans="1:15">
      <c r="A84" s="1"/>
      <c r="B84" s="26" t="s">
        <v>65</v>
      </c>
      <c r="C84" s="27"/>
      <c r="D84" s="27"/>
      <c r="E84" s="51">
        <f>-E78*$C$238</f>
        <v>0</v>
      </c>
      <c r="F84" s="51">
        <f t="shared" ref="F84:N84" si="29">-F78*$C$238</f>
        <v>-188175</v>
      </c>
      <c r="G84" s="51">
        <f t="shared" si="29"/>
        <v>-188175</v>
      </c>
      <c r="H84" s="51">
        <f t="shared" si="29"/>
        <v>0</v>
      </c>
      <c r="I84" s="51">
        <f t="shared" si="29"/>
        <v>0</v>
      </c>
      <c r="J84" s="51">
        <f t="shared" si="29"/>
        <v>0</v>
      </c>
      <c r="K84" s="51">
        <f t="shared" si="29"/>
        <v>0</v>
      </c>
      <c r="L84" s="51">
        <f t="shared" si="29"/>
        <v>0</v>
      </c>
      <c r="M84" s="51">
        <f t="shared" si="29"/>
        <v>0</v>
      </c>
      <c r="N84" s="51">
        <f t="shared" si="29"/>
        <v>0</v>
      </c>
      <c r="O84" s="20" t="s">
        <v>23</v>
      </c>
    </row>
    <row r="85" spans="1:15" s="25" customFormat="1">
      <c r="A85" s="20"/>
      <c r="B85" s="29" t="str">
        <f>"Total "&amp;B75&amp;" Cash Flow"</f>
        <v>Total Construction Loan Cash Flow</v>
      </c>
      <c r="C85" s="30">
        <f>C78+C82+C79</f>
        <v>-3920312.5</v>
      </c>
      <c r="D85" s="30"/>
      <c r="E85" s="42">
        <f t="shared" ref="E85:N85" si="30">E78+E82+E79+E84</f>
        <v>0</v>
      </c>
      <c r="F85" s="42">
        <f t="shared" si="30"/>
        <v>11572762.5</v>
      </c>
      <c r="G85" s="42">
        <f t="shared" si="30"/>
        <v>10788700</v>
      </c>
      <c r="H85" s="42">
        <f t="shared" si="30"/>
        <v>-1568125</v>
      </c>
      <c r="I85" s="42">
        <f t="shared" si="30"/>
        <v>-25090000</v>
      </c>
      <c r="J85" s="42">
        <f t="shared" si="30"/>
        <v>0</v>
      </c>
      <c r="K85" s="42">
        <f t="shared" si="30"/>
        <v>0</v>
      </c>
      <c r="L85" s="42">
        <f t="shared" si="30"/>
        <v>0</v>
      </c>
      <c r="M85" s="42">
        <f t="shared" si="30"/>
        <v>0</v>
      </c>
      <c r="N85" s="42">
        <f t="shared" si="30"/>
        <v>0</v>
      </c>
      <c r="O85" s="20" t="s">
        <v>23</v>
      </c>
    </row>
    <row r="86" spans="1:15" s="1" customFormat="1" ht="6.95">
      <c r="O86" s="1" t="s">
        <v>23</v>
      </c>
    </row>
    <row r="87" spans="1:15">
      <c r="B87" s="25" t="s">
        <v>66</v>
      </c>
      <c r="C87" s="25"/>
      <c r="D87" s="25"/>
      <c r="O87" s="20" t="s">
        <v>23</v>
      </c>
    </row>
    <row r="88" spans="1:15">
      <c r="A88" s="1"/>
      <c r="B88" s="26" t="s">
        <v>67</v>
      </c>
      <c r="C88" s="27">
        <f>SUM(E88:N88)</f>
        <v>950821039.47733939</v>
      </c>
      <c r="D88" s="27"/>
      <c r="E88" s="28">
        <f t="shared" ref="E88:N88" si="31">IF(E73=$C$186,$C$251,0)</f>
        <v>0</v>
      </c>
      <c r="F88" s="28">
        <f t="shared" si="31"/>
        <v>0</v>
      </c>
      <c r="G88" s="28">
        <f t="shared" si="31"/>
        <v>0</v>
      </c>
      <c r="H88" s="28">
        <f t="shared" si="31"/>
        <v>0</v>
      </c>
      <c r="I88" s="28">
        <f t="shared" si="31"/>
        <v>950821039.47733939</v>
      </c>
      <c r="J88" s="28">
        <f t="shared" si="31"/>
        <v>0</v>
      </c>
      <c r="K88" s="28">
        <f t="shared" si="31"/>
        <v>0</v>
      </c>
      <c r="L88" s="28">
        <f t="shared" si="31"/>
        <v>0</v>
      </c>
      <c r="M88" s="28">
        <f t="shared" si="31"/>
        <v>0</v>
      </c>
      <c r="N88" s="28">
        <f t="shared" si="31"/>
        <v>0</v>
      </c>
      <c r="O88" s="20" t="s">
        <v>23</v>
      </c>
    </row>
    <row r="89" spans="1:15" s="1" customFormat="1" ht="6.95">
      <c r="O89" s="1" t="s">
        <v>23</v>
      </c>
    </row>
    <row r="90" spans="1:15">
      <c r="A90" s="1"/>
      <c r="B90" s="26" t="s">
        <v>68</v>
      </c>
      <c r="C90" s="27"/>
      <c r="D90" s="27"/>
      <c r="E90" s="28">
        <f>E88</f>
        <v>0</v>
      </c>
      <c r="F90" s="28">
        <f t="shared" ref="F90:I90" si="32">F88</f>
        <v>0</v>
      </c>
      <c r="G90" s="28">
        <f t="shared" si="32"/>
        <v>0</v>
      </c>
      <c r="H90" s="28">
        <f t="shared" si="32"/>
        <v>0</v>
      </c>
      <c r="I90" s="28">
        <f t="shared" si="32"/>
        <v>950821039.47733939</v>
      </c>
      <c r="J90" s="28">
        <f>I95</f>
        <v>937113115.75883961</v>
      </c>
      <c r="K90" s="28">
        <f t="shared" ref="K90:N90" si="33">J95</f>
        <v>922685526.04511857</v>
      </c>
      <c r="L90" s="28">
        <f t="shared" si="33"/>
        <v>907500487.87142718</v>
      </c>
      <c r="M90" s="28">
        <f t="shared" si="33"/>
        <v>0</v>
      </c>
      <c r="N90" s="28">
        <f t="shared" si="33"/>
        <v>0</v>
      </c>
      <c r="O90" s="20" t="s">
        <v>23</v>
      </c>
    </row>
    <row r="91" spans="1:15">
      <c r="A91" s="1"/>
      <c r="B91" s="26" t="s">
        <v>69</v>
      </c>
      <c r="C91" s="27">
        <f>SUM(E91:N91)</f>
        <v>-254504113.1642403</v>
      </c>
      <c r="D91" s="27"/>
      <c r="E91" s="28">
        <f t="shared" ref="E91:N91" si="34">IF((AND(E73&gt;=$C$186,E73&lt;=$C$198)),PMT($C$245,$C$243,$C$251),0)</f>
        <v>0</v>
      </c>
      <c r="F91" s="28">
        <f t="shared" si="34"/>
        <v>0</v>
      </c>
      <c r="G91" s="28">
        <f t="shared" si="34"/>
        <v>0</v>
      </c>
      <c r="H91" s="28">
        <f t="shared" si="34"/>
        <v>0</v>
      </c>
      <c r="I91" s="28">
        <f t="shared" si="34"/>
        <v>-63626028.291060075</v>
      </c>
      <c r="J91" s="28">
        <f t="shared" si="34"/>
        <v>-63626028.291060075</v>
      </c>
      <c r="K91" s="28">
        <f t="shared" si="34"/>
        <v>-63626028.291060075</v>
      </c>
      <c r="L91" s="28">
        <f t="shared" si="34"/>
        <v>-63626028.291060075</v>
      </c>
      <c r="M91" s="28">
        <f t="shared" si="34"/>
        <v>0</v>
      </c>
      <c r="N91" s="28">
        <f t="shared" si="34"/>
        <v>0</v>
      </c>
      <c r="O91" s="20" t="s">
        <v>23</v>
      </c>
    </row>
    <row r="92" spans="1:15">
      <c r="A92" s="1"/>
      <c r="B92" s="26" t="s">
        <v>64</v>
      </c>
      <c r="C92" s="27">
        <f>SUM(E92:N92)</f>
        <v>-195201308.88051805</v>
      </c>
      <c r="D92" s="27"/>
      <c r="E92" s="28">
        <f>-$C$245*E90</f>
        <v>0</v>
      </c>
      <c r="F92" s="28">
        <f t="shared" ref="F92:N92" si="35">-$C$245*F90</f>
        <v>0</v>
      </c>
      <c r="G92" s="28">
        <f t="shared" si="35"/>
        <v>0</v>
      </c>
      <c r="H92" s="28">
        <f t="shared" si="35"/>
        <v>0</v>
      </c>
      <c r="I92" s="28">
        <f t="shared" si="35"/>
        <v>-49918104.572560318</v>
      </c>
      <c r="J92" s="28">
        <f t="shared" si="35"/>
        <v>-49198438.577339076</v>
      </c>
      <c r="K92" s="28">
        <f t="shared" si="35"/>
        <v>-48440990.11736872</v>
      </c>
      <c r="L92" s="28">
        <f t="shared" si="35"/>
        <v>-47643775.613249928</v>
      </c>
      <c r="M92" s="28">
        <f t="shared" si="35"/>
        <v>0</v>
      </c>
      <c r="N92" s="28">
        <f t="shared" si="35"/>
        <v>0</v>
      </c>
      <c r="O92" s="20" t="s">
        <v>23</v>
      </c>
    </row>
    <row r="93" spans="1:15">
      <c r="A93" s="1"/>
      <c r="B93" s="26" t="s">
        <v>70</v>
      </c>
      <c r="C93" s="27">
        <f>SUM(E93:N93)</f>
        <v>-59302804.283722259</v>
      </c>
      <c r="D93" s="27"/>
      <c r="E93" s="28">
        <f t="shared" ref="E93:N93" si="36">E91-E92</f>
        <v>0</v>
      </c>
      <c r="F93" s="28">
        <f t="shared" si="36"/>
        <v>0</v>
      </c>
      <c r="G93" s="28">
        <f t="shared" si="36"/>
        <v>0</v>
      </c>
      <c r="H93" s="28">
        <f t="shared" si="36"/>
        <v>0</v>
      </c>
      <c r="I93" s="28">
        <f t="shared" si="36"/>
        <v>-13707923.718499757</v>
      </c>
      <c r="J93" s="28">
        <f t="shared" si="36"/>
        <v>-14427589.713721</v>
      </c>
      <c r="K93" s="28">
        <f t="shared" si="36"/>
        <v>-15185038.173691355</v>
      </c>
      <c r="L93" s="28">
        <f t="shared" si="36"/>
        <v>-15982252.677810147</v>
      </c>
      <c r="M93" s="28">
        <f t="shared" si="36"/>
        <v>0</v>
      </c>
      <c r="N93" s="28">
        <f t="shared" si="36"/>
        <v>0</v>
      </c>
      <c r="O93" s="20" t="s">
        <v>23</v>
      </c>
    </row>
    <row r="94" spans="1:15">
      <c r="A94" s="1"/>
      <c r="B94" s="26" t="s">
        <v>71</v>
      </c>
      <c r="C94" s="27">
        <f>SUM(E94:N94)</f>
        <v>-891518235.19361699</v>
      </c>
      <c r="D94" s="27"/>
      <c r="E94" s="28">
        <f>IF(E$73=$C$198,-(E90+E93),0)</f>
        <v>0</v>
      </c>
      <c r="F94" s="28">
        <f>IF(F$73=$C$198,-(F90+F93),0)</f>
        <v>0</v>
      </c>
      <c r="G94" s="28">
        <f>IF(G$73=$C$198,-(G90+G93),0)</f>
        <v>0</v>
      </c>
      <c r="H94" s="28">
        <f>IF(H$73=$C$198,-(H90+H93),0)</f>
        <v>0</v>
      </c>
      <c r="I94" s="28">
        <f>IF(I$73=$C$198,-(I90+I93),0)</f>
        <v>0</v>
      </c>
      <c r="J94" s="28">
        <f>IF(J$73=$C$198,-(J90+J93),0)</f>
        <v>0</v>
      </c>
      <c r="K94" s="28">
        <f>IF(K$73=$C$198,-(K90+K93),0)</f>
        <v>0</v>
      </c>
      <c r="L94" s="28">
        <f>IF(L$73=$C$198,-(L90+L93),0)</f>
        <v>-891518235.19361699</v>
      </c>
      <c r="M94" s="28">
        <f>IF(M$73=$C$198,-(M90+M93),0)</f>
        <v>0</v>
      </c>
      <c r="N94" s="28">
        <f>IF(N$73=$C$198,-(N90+N93),0)</f>
        <v>0</v>
      </c>
      <c r="O94" s="20" t="s">
        <v>23</v>
      </c>
    </row>
    <row r="95" spans="1:15">
      <c r="A95" s="1"/>
      <c r="B95" s="26" t="s">
        <v>72</v>
      </c>
      <c r="C95" s="27"/>
      <c r="D95" s="27"/>
      <c r="E95" s="28">
        <f>E90+E93+E94</f>
        <v>0</v>
      </c>
      <c r="F95" s="28">
        <f t="shared" ref="F95:N95" si="37">F90+F93+F94</f>
        <v>0</v>
      </c>
      <c r="G95" s="28">
        <f t="shared" si="37"/>
        <v>0</v>
      </c>
      <c r="H95" s="28">
        <f t="shared" si="37"/>
        <v>0</v>
      </c>
      <c r="I95" s="28">
        <f>I90+I93+I94</f>
        <v>937113115.75883961</v>
      </c>
      <c r="J95" s="28">
        <f t="shared" si="37"/>
        <v>922685526.04511857</v>
      </c>
      <c r="K95" s="28">
        <f t="shared" si="37"/>
        <v>907500487.87142718</v>
      </c>
      <c r="L95" s="28">
        <f t="shared" si="37"/>
        <v>0</v>
      </c>
      <c r="M95" s="28">
        <f t="shared" si="37"/>
        <v>0</v>
      </c>
      <c r="N95" s="28">
        <f t="shared" si="37"/>
        <v>0</v>
      </c>
      <c r="O95" s="20" t="s">
        <v>23</v>
      </c>
    </row>
    <row r="96" spans="1:15" s="1" customFormat="1" ht="6.95">
      <c r="O96" s="1" t="s">
        <v>23</v>
      </c>
    </row>
    <row r="97" spans="1:15">
      <c r="A97" s="1"/>
      <c r="B97" s="26" t="s">
        <v>65</v>
      </c>
      <c r="C97" s="27"/>
      <c r="D97" s="27"/>
      <c r="E97" s="51">
        <f>-$C$238*E88</f>
        <v>0</v>
      </c>
      <c r="F97" s="51">
        <f t="shared" ref="F97:N97" si="38">-$C$238*F88</f>
        <v>0</v>
      </c>
      <c r="G97" s="51">
        <f t="shared" si="38"/>
        <v>0</v>
      </c>
      <c r="H97" s="51">
        <f t="shared" si="38"/>
        <v>0</v>
      </c>
      <c r="I97" s="51">
        <f t="shared" si="38"/>
        <v>-14262315.592160091</v>
      </c>
      <c r="J97" s="51">
        <f t="shared" si="38"/>
        <v>0</v>
      </c>
      <c r="K97" s="51">
        <f t="shared" si="38"/>
        <v>0</v>
      </c>
      <c r="L97" s="51">
        <f t="shared" si="38"/>
        <v>0</v>
      </c>
      <c r="M97" s="51">
        <f t="shared" si="38"/>
        <v>0</v>
      </c>
      <c r="N97" s="51">
        <f t="shared" si="38"/>
        <v>0</v>
      </c>
      <c r="O97" s="20" t="s">
        <v>23</v>
      </c>
    </row>
    <row r="98" spans="1:15" s="25" customFormat="1">
      <c r="A98" s="20"/>
      <c r="B98" s="29" t="str">
        <f>"Total "&amp;B87&amp;" Cash Flow"</f>
        <v>Total Permanent Loan Cash Flow</v>
      </c>
      <c r="C98" s="30">
        <f>SUM(E98:N98)</f>
        <v>-209463624.47267807</v>
      </c>
      <c r="D98" s="30"/>
      <c r="E98" s="42">
        <f t="shared" ref="E98:N98" si="39">E88+E91+E94+E97</f>
        <v>0</v>
      </c>
      <c r="F98" s="42">
        <f t="shared" si="39"/>
        <v>0</v>
      </c>
      <c r="G98" s="42">
        <f t="shared" si="39"/>
        <v>0</v>
      </c>
      <c r="H98" s="42">
        <f t="shared" si="39"/>
        <v>0</v>
      </c>
      <c r="I98" s="42">
        <f>I88+I91+I94+I97</f>
        <v>872932695.59411919</v>
      </c>
      <c r="J98" s="42">
        <f t="shared" si="39"/>
        <v>-63626028.291060075</v>
      </c>
      <c r="K98" s="42">
        <f t="shared" si="39"/>
        <v>-63626028.291060075</v>
      </c>
      <c r="L98" s="42">
        <f>L88+L91+L94+L97</f>
        <v>-955144263.48467708</v>
      </c>
      <c r="M98" s="42">
        <f t="shared" si="39"/>
        <v>0</v>
      </c>
      <c r="N98" s="42">
        <f t="shared" si="39"/>
        <v>0</v>
      </c>
      <c r="O98" s="20" t="s">
        <v>23</v>
      </c>
    </row>
    <row r="99" spans="1:15" s="39" customFormat="1">
      <c r="B99" s="40" t="s">
        <v>73</v>
      </c>
      <c r="C99" s="41">
        <f t="shared" ref="C99" si="40">SUM(E99:N99)</f>
        <v>-63626028.291060075</v>
      </c>
      <c r="D99" s="41"/>
      <c r="E99" s="41" t="b">
        <f>IF(E$9=$C$186,E91)</f>
        <v>0</v>
      </c>
      <c r="F99" s="41" t="b">
        <f>IF(F$9=$C$186,F91)</f>
        <v>0</v>
      </c>
      <c r="G99" s="41" t="b">
        <f>IF(G$9=$C$186,G91)</f>
        <v>0</v>
      </c>
      <c r="H99" s="41" t="b">
        <f>IF(H$9=$C$186,H91)</f>
        <v>0</v>
      </c>
      <c r="I99" s="41">
        <f>IF(I$9=$C$186,I91)</f>
        <v>-63626028.291060075</v>
      </c>
      <c r="J99" s="41" t="b">
        <f>IF(J$9=$C$186,J91)</f>
        <v>0</v>
      </c>
      <c r="K99" s="41" t="b">
        <f>IF(K$9=$C$186,K91)</f>
        <v>0</v>
      </c>
      <c r="L99" s="41" t="b">
        <f>IF(L$9=$C$186,L91)</f>
        <v>0</v>
      </c>
      <c r="M99" s="41" t="b">
        <f>IF(M$9=$C$186,M91)</f>
        <v>0</v>
      </c>
      <c r="N99" s="41" t="b">
        <f>IF(N$9=$C$186,N91)</f>
        <v>0</v>
      </c>
      <c r="O99" s="39" t="s">
        <v>23</v>
      </c>
    </row>
    <row r="100" spans="1:15" s="1" customFormat="1" ht="6.95">
      <c r="C100" s="43"/>
      <c r="O100" s="1" t="s">
        <v>23</v>
      </c>
    </row>
    <row r="101" spans="1:15">
      <c r="A101" s="1"/>
      <c r="B101" s="5" t="s">
        <v>74</v>
      </c>
      <c r="C101" s="44">
        <f>SUM(E101:N101)</f>
        <v>954748438.22450495</v>
      </c>
      <c r="D101" s="45"/>
      <c r="E101" s="46">
        <f>SUM(E98,E85,E69)</f>
        <v>-14500000</v>
      </c>
      <c r="F101" s="46">
        <f>SUM(F98,F85,F69)</f>
        <v>-226844053.5</v>
      </c>
      <c r="G101" s="46">
        <f>SUM(G98,G85,G69)</f>
        <v>-227628116</v>
      </c>
      <c r="H101" s="46">
        <f t="shared" ref="H101:N101" si="41">SUM(H98,H85,H69)</f>
        <v>6831166.3028824329</v>
      </c>
      <c r="I101" s="46">
        <f t="shared" si="41"/>
        <v>924193929.54339123</v>
      </c>
      <c r="J101" s="46">
        <f t="shared" si="41"/>
        <v>14633986.506943822</v>
      </c>
      <c r="K101" s="46">
        <f t="shared" si="41"/>
        <v>16590486.876893908</v>
      </c>
      <c r="L101" s="46">
        <f t="shared" si="41"/>
        <v>461471038.49439359</v>
      </c>
      <c r="M101" s="46">
        <f t="shared" si="41"/>
        <v>0</v>
      </c>
      <c r="N101" s="46">
        <f t="shared" si="41"/>
        <v>0</v>
      </c>
      <c r="O101" s="20" t="s">
        <v>23</v>
      </c>
    </row>
    <row r="102" spans="1:15" s="49" customFormat="1">
      <c r="A102" s="20"/>
      <c r="B102" s="47" t="s">
        <v>57</v>
      </c>
      <c r="C102" s="45">
        <f>SUM(E102:N102)</f>
        <v>190218411.19535434</v>
      </c>
      <c r="D102" s="45"/>
      <c r="E102" s="48">
        <f>E101/(1+$C$202)^(E$9)</f>
        <v>-12083333.333333334</v>
      </c>
      <c r="F102" s="48">
        <f>F101/(1+$C$202)^(F$9)</f>
        <v>-157530592.70833334</v>
      </c>
      <c r="G102" s="48">
        <f>G101/(1+$C$202)^(G$9)</f>
        <v>-131729233.7962963</v>
      </c>
      <c r="H102" s="48">
        <f>H101/(1+$C$202)^(H$9)</f>
        <v>3294351.0334116672</v>
      </c>
      <c r="I102" s="48">
        <f>I101/(1+$C$202)^(I$9)</f>
        <v>371412812.47725022</v>
      </c>
      <c r="J102" s="48">
        <f>J101/(1+$C$202)^(J$9)</f>
        <v>4900892.4719435275</v>
      </c>
      <c r="K102" s="48">
        <f>K101/(1+$C$202)^(K$9)</f>
        <v>4630100.4060118627</v>
      </c>
      <c r="L102" s="48">
        <f>L101/(1+$C$202)^(L$9)</f>
        <v>107323414.64470005</v>
      </c>
      <c r="M102" s="48">
        <f>M101/(1+$C$202)^(M$9)</f>
        <v>0</v>
      </c>
      <c r="N102" s="48">
        <f>N101/(1+$C$202)^(N$9)</f>
        <v>0</v>
      </c>
      <c r="O102" s="49" t="s">
        <v>23</v>
      </c>
    </row>
    <row r="103" spans="1:15">
      <c r="A103" s="1"/>
      <c r="E103" s="54"/>
    </row>
    <row r="104" spans="1:15">
      <c r="A104" s="1"/>
      <c r="B104" s="22" t="s">
        <v>75</v>
      </c>
    </row>
    <row r="105" spans="1:15">
      <c r="B105" s="5" t="s">
        <v>21</v>
      </c>
      <c r="C105" s="23" t="s">
        <v>76</v>
      </c>
      <c r="D105" s="55"/>
      <c r="F105" s="25"/>
    </row>
    <row r="106" spans="1:15">
      <c r="A106" s="1"/>
      <c r="B106" s="20" t="s">
        <v>77</v>
      </c>
      <c r="C106" s="56">
        <f>C70</f>
        <v>97166692.673279852</v>
      </c>
      <c r="D106" s="38"/>
      <c r="F106" s="25"/>
    </row>
    <row r="107" spans="1:15">
      <c r="B107" s="20" t="s">
        <v>78</v>
      </c>
      <c r="C107" s="57">
        <f>C55/(-C28-C62)</f>
        <v>0.14555424205180897</v>
      </c>
      <c r="D107" s="58"/>
    </row>
    <row r="108" spans="1:15">
      <c r="B108" s="59" t="s">
        <v>79</v>
      </c>
      <c r="C108" s="60">
        <f>IRR(E69:N69)</f>
        <v>0.26431590423891871</v>
      </c>
      <c r="D108" s="61"/>
    </row>
    <row r="109" spans="1:15">
      <c r="B109" s="49" t="s">
        <v>80</v>
      </c>
    </row>
    <row r="110" spans="1:15">
      <c r="B110" s="49"/>
    </row>
    <row r="111" spans="1:15">
      <c r="B111" s="22" t="s">
        <v>81</v>
      </c>
    </row>
    <row r="112" spans="1:15">
      <c r="B112" s="5" t="s">
        <v>21</v>
      </c>
      <c r="C112" s="23" t="s">
        <v>76</v>
      </c>
      <c r="D112" s="55"/>
      <c r="F112" s="25"/>
    </row>
    <row r="113" spans="1:6 16384:16384">
      <c r="A113" s="1"/>
      <c r="B113" s="20" t="s">
        <v>77</v>
      </c>
      <c r="C113" s="56">
        <f>C102</f>
        <v>190218411.19535434</v>
      </c>
      <c r="D113" s="38"/>
      <c r="F113" s="25"/>
    </row>
    <row r="114" spans="1:6 16384:16384">
      <c r="B114" s="59" t="s">
        <v>79</v>
      </c>
      <c r="C114" s="62">
        <f>IRR(E101:N101)</f>
        <v>0.39861533975212482</v>
      </c>
      <c r="D114" s="61"/>
    </row>
    <row r="116" spans="1:6 16384:16384">
      <c r="B116" s="22" t="s">
        <v>82</v>
      </c>
    </row>
    <row r="117" spans="1:6 16384:16384">
      <c r="A117" s="1"/>
      <c r="B117" s="5" t="s">
        <v>21</v>
      </c>
      <c r="C117" s="23" t="s">
        <v>83</v>
      </c>
      <c r="D117" s="55"/>
    </row>
    <row r="118" spans="1:6 16384:16384" s="1" customFormat="1" ht="15" customHeight="1">
      <c r="B118" s="63"/>
      <c r="C118" s="63"/>
      <c r="D118" s="63"/>
    </row>
    <row r="119" spans="1:6 16384:16384" s="1" customFormat="1" ht="15" customHeight="1">
      <c r="B119" s="20" t="s">
        <v>84</v>
      </c>
      <c r="C119" s="64">
        <v>114563</v>
      </c>
      <c r="D119" s="95"/>
    </row>
    <row r="120" spans="1:6 16384:16384" s="1" customFormat="1" ht="15" customHeight="1">
      <c r="B120" s="20" t="s">
        <v>85</v>
      </c>
      <c r="C120" s="94">
        <f>C214*C215</f>
        <v>450100</v>
      </c>
      <c r="D120" s="95"/>
    </row>
    <row r="121" spans="1:6 16384:16384" s="1" customFormat="1" ht="15" customHeight="1">
      <c r="B121" s="20" t="s">
        <v>86</v>
      </c>
      <c r="C121" s="94">
        <f>C218*C219</f>
        <v>300300</v>
      </c>
      <c r="D121" s="95"/>
    </row>
    <row r="122" spans="1:6 16384:16384" s="1" customFormat="1" ht="15" customHeight="1">
      <c r="B122" s="20" t="s">
        <v>87</v>
      </c>
      <c r="C122" s="83">
        <v>0.8</v>
      </c>
      <c r="D122" s="95"/>
    </row>
    <row r="123" spans="1:6 16384:16384" s="1" customFormat="1" ht="15" customHeight="1">
      <c r="B123" s="20" t="s">
        <v>88</v>
      </c>
      <c r="C123" s="84">
        <v>4</v>
      </c>
      <c r="D123" s="95" t="s">
        <v>89</v>
      </c>
    </row>
    <row r="124" spans="1:6 16384:16384" s="1" customFormat="1" ht="15" customHeight="1">
      <c r="B124" s="20" t="s">
        <v>90</v>
      </c>
      <c r="C124" s="84">
        <v>3</v>
      </c>
      <c r="D124" s="95" t="s">
        <v>89</v>
      </c>
    </row>
    <row r="125" spans="1:6 16384:16384" s="1" customFormat="1" ht="15" customHeight="1">
      <c r="B125" s="20" t="s">
        <v>91</v>
      </c>
      <c r="C125" s="84">
        <v>3</v>
      </c>
      <c r="D125" s="95" t="s">
        <v>89</v>
      </c>
    </row>
    <row r="126" spans="1:6 16384:16384" s="1" customFormat="1" ht="15" customHeight="1">
      <c r="B126" s="20" t="s">
        <v>92</v>
      </c>
      <c r="C126" s="84">
        <v>7</v>
      </c>
      <c r="D126" s="95" t="s">
        <v>89</v>
      </c>
    </row>
    <row r="127" spans="1:6 16384:16384" ht="15" customHeight="1">
      <c r="B127" s="20" t="s">
        <v>93</v>
      </c>
      <c r="C127" s="68">
        <f>$C$119*C122*(SUM(C123:C126))</f>
        <v>1558056.8</v>
      </c>
      <c r="D127" s="96"/>
      <c r="XFD127" s="20">
        <f>SUM(A127:XFC127)</f>
        <v>1558056.8</v>
      </c>
    </row>
    <row r="128" spans="1:6 16384:16384" ht="15.95">
      <c r="B128" s="20" t="s">
        <v>94</v>
      </c>
      <c r="C128" s="83">
        <v>0.8</v>
      </c>
      <c r="D128" s="96" t="s">
        <v>89</v>
      </c>
    </row>
    <row r="129" spans="2:4 16384:16384" ht="15.95">
      <c r="B129" s="20" t="s">
        <v>95</v>
      </c>
      <c r="C129" s="83">
        <v>0</v>
      </c>
      <c r="D129" s="96" t="s">
        <v>89</v>
      </c>
    </row>
    <row r="130" spans="2:4 16384:16384" ht="15.95">
      <c r="B130" s="20" t="s">
        <v>96</v>
      </c>
      <c r="C130" s="83">
        <v>0.2</v>
      </c>
      <c r="D130" s="96" t="s">
        <v>89</v>
      </c>
    </row>
    <row r="131" spans="2:4 16384:16384" ht="15.95">
      <c r="B131" s="20" t="s">
        <v>97</v>
      </c>
      <c r="C131" s="91" t="str">
        <f>IF(SUM(C128:C130)=1,"GOOD", "CHANGE ALLOCATION")</f>
        <v>GOOD</v>
      </c>
      <c r="D131" s="96"/>
    </row>
    <row r="132" spans="2:4 16384:16384" ht="15.95">
      <c r="B132" s="20" t="s">
        <v>98</v>
      </c>
      <c r="C132" s="86">
        <f>C128*$C$127</f>
        <v>1246445.4400000002</v>
      </c>
      <c r="D132" s="96"/>
    </row>
    <row r="133" spans="2:4 16384:16384" ht="15.95">
      <c r="B133" s="20" t="s">
        <v>99</v>
      </c>
      <c r="C133" s="86">
        <f>C129*$C$127</f>
        <v>0</v>
      </c>
      <c r="D133" s="96"/>
    </row>
    <row r="134" spans="2:4 16384:16384" ht="15.95">
      <c r="B134" s="20" t="s">
        <v>100</v>
      </c>
      <c r="C134" s="86">
        <f>C130*$C$127</f>
        <v>311611.36000000004</v>
      </c>
      <c r="D134" s="96"/>
    </row>
    <row r="135" spans="2:4 16384:16384" ht="15.95">
      <c r="C135" s="88"/>
      <c r="D135" s="96"/>
    </row>
    <row r="136" spans="2:4 16384:16384" ht="15.95">
      <c r="B136" s="20" t="s">
        <v>101</v>
      </c>
      <c r="C136" s="66">
        <v>0.82</v>
      </c>
      <c r="D136" s="97"/>
      <c r="XFD136" s="20">
        <f>SUM(A136:XFC136)</f>
        <v>0.82</v>
      </c>
    </row>
    <row r="137" spans="2:4 16384:16384" ht="15.95">
      <c r="B137" s="20" t="s">
        <v>102</v>
      </c>
      <c r="C137" s="68">
        <f>C136*C132</f>
        <v>1022085.2608</v>
      </c>
      <c r="D137" s="98"/>
    </row>
    <row r="138" spans="2:4 16384:16384" ht="15.95">
      <c r="B138" s="20" t="s">
        <v>103</v>
      </c>
      <c r="C138" s="64">
        <v>750</v>
      </c>
      <c r="D138" s="98" t="s">
        <v>89</v>
      </c>
    </row>
    <row r="139" spans="2:4 16384:16384" ht="15.95">
      <c r="B139" s="20" t="s">
        <v>104</v>
      </c>
      <c r="C139" s="89">
        <f>ROUNDUP(C137/C138,0)</f>
        <v>1363</v>
      </c>
      <c r="D139" s="98"/>
    </row>
    <row r="140" spans="2:4 16384:16384" ht="15.95">
      <c r="B140" s="20" t="s">
        <v>105</v>
      </c>
      <c r="C140" s="66">
        <v>0.95</v>
      </c>
      <c r="D140" s="98"/>
    </row>
    <row r="141" spans="2:4 16384:16384" ht="15.95">
      <c r="B141" s="20" t="s">
        <v>106</v>
      </c>
      <c r="C141" s="68">
        <f>C140*C133</f>
        <v>0</v>
      </c>
      <c r="D141" s="98"/>
    </row>
    <row r="142" spans="2:4 16384:16384" ht="15.95">
      <c r="B142" s="20" t="s">
        <v>107</v>
      </c>
      <c r="C142" s="66">
        <v>0.9</v>
      </c>
      <c r="D142" s="98"/>
    </row>
    <row r="143" spans="2:4 16384:16384" ht="15.95">
      <c r="B143" s="20" t="s">
        <v>108</v>
      </c>
      <c r="C143" s="68">
        <f>C142*C134</f>
        <v>280450.22400000005</v>
      </c>
      <c r="D143" s="98"/>
    </row>
    <row r="144" spans="2:4 16384:16384" ht="15.95">
      <c r="C144" s="69"/>
      <c r="D144" s="98"/>
    </row>
    <row r="145" spans="2:5 16384:16384" ht="15.95">
      <c r="B145" s="20" t="s">
        <v>109</v>
      </c>
      <c r="C145" s="66">
        <v>0.9</v>
      </c>
      <c r="D145" s="98"/>
      <c r="XFD145" s="20">
        <f>SUM(A145:XFC145)</f>
        <v>0.9</v>
      </c>
    </row>
    <row r="146" spans="2:5 16384:16384" ht="15.95">
      <c r="B146" s="20" t="s">
        <v>110</v>
      </c>
      <c r="C146" s="68">
        <f>C143*C145</f>
        <v>252405.20160000006</v>
      </c>
      <c r="D146" s="98"/>
    </row>
    <row r="147" spans="2:5 16384:16384" s="1" customFormat="1" ht="15.95">
      <c r="D147" s="21"/>
    </row>
    <row r="148" spans="2:5 16384:16384" s="1" customFormat="1" ht="16.5" customHeight="1">
      <c r="B148" s="20" t="s">
        <v>111</v>
      </c>
      <c r="C148" s="70">
        <v>10000000</v>
      </c>
      <c r="D148" s="95" t="s">
        <v>89</v>
      </c>
    </row>
    <row r="149" spans="2:5 16384:16384" ht="15.95">
      <c r="B149" s="20" t="s">
        <v>112</v>
      </c>
      <c r="C149" s="66">
        <v>0.05</v>
      </c>
      <c r="D149" s="97"/>
    </row>
    <row r="150" spans="2:5 16384:16384" ht="15.95">
      <c r="B150" s="20" t="s">
        <v>27</v>
      </c>
      <c r="C150" s="85">
        <v>4000000</v>
      </c>
      <c r="D150" s="97" t="s">
        <v>89</v>
      </c>
    </row>
    <row r="151" spans="2:5 16384:16384" s="1" customFormat="1" ht="15.95">
      <c r="D151" s="21"/>
    </row>
    <row r="152" spans="2:5 16384:16384" ht="15.95">
      <c r="B152" s="20" t="s">
        <v>113</v>
      </c>
      <c r="C152" s="70">
        <v>200</v>
      </c>
      <c r="D152" s="99"/>
      <c r="E152" s="72"/>
    </row>
    <row r="153" spans="2:5 16384:16384" ht="15.95">
      <c r="B153" s="20" t="s">
        <v>114</v>
      </c>
      <c r="C153" s="66">
        <v>0.2</v>
      </c>
      <c r="D153" s="97"/>
    </row>
    <row r="154" spans="2:5 16384:16384" ht="15.95">
      <c r="B154" s="20" t="s">
        <v>115</v>
      </c>
      <c r="C154" s="70">
        <v>200</v>
      </c>
      <c r="D154" s="97"/>
    </row>
    <row r="155" spans="2:5 16384:16384" ht="15.95">
      <c r="B155" s="20" t="s">
        <v>116</v>
      </c>
      <c r="C155" s="66">
        <v>0.2</v>
      </c>
      <c r="D155" s="97"/>
    </row>
    <row r="156" spans="2:5 16384:16384" ht="15.95">
      <c r="B156" s="20" t="s">
        <v>117</v>
      </c>
      <c r="C156" s="70">
        <v>200</v>
      </c>
      <c r="D156" s="97"/>
    </row>
    <row r="157" spans="2:5 16384:16384" ht="15.95">
      <c r="B157" s="20" t="s">
        <v>118</v>
      </c>
      <c r="C157" s="66">
        <v>0.2</v>
      </c>
      <c r="D157" s="97"/>
    </row>
    <row r="158" spans="2:5 16384:16384" ht="15.95">
      <c r="B158" s="20" t="s">
        <v>119</v>
      </c>
      <c r="C158" s="73">
        <v>2</v>
      </c>
      <c r="D158" s="97"/>
    </row>
    <row r="159" spans="2:5 16384:16384" ht="15.95">
      <c r="B159" s="20" t="s">
        <v>120</v>
      </c>
      <c r="C159" s="73">
        <v>2</v>
      </c>
      <c r="D159" s="100"/>
    </row>
    <row r="160" spans="2:5 16384:16384" ht="15.95">
      <c r="B160" s="20" t="s">
        <v>121</v>
      </c>
      <c r="C160" s="75">
        <f>C158+C159</f>
        <v>4</v>
      </c>
      <c r="D160" s="100"/>
    </row>
    <row r="161" spans="2:6" s="1" customFormat="1" ht="15.95">
      <c r="D161" s="21"/>
    </row>
    <row r="162" spans="2:6" s="1" customFormat="1" ht="15" customHeight="1">
      <c r="B162" s="20" t="s">
        <v>122</v>
      </c>
      <c r="C162" s="76">
        <v>100</v>
      </c>
      <c r="D162" s="21"/>
    </row>
    <row r="163" spans="2:6" s="1" customFormat="1" ht="15" customHeight="1">
      <c r="B163" s="20" t="s">
        <v>123</v>
      </c>
      <c r="C163" s="76">
        <v>30</v>
      </c>
      <c r="D163" s="21"/>
    </row>
    <row r="164" spans="2:6" ht="15.95">
      <c r="B164" s="20" t="s">
        <v>124</v>
      </c>
      <c r="C164" s="76">
        <v>80</v>
      </c>
      <c r="D164" s="101"/>
      <c r="F164" s="87"/>
    </row>
    <row r="165" spans="2:6" ht="15.95">
      <c r="B165" s="20" t="s">
        <v>125</v>
      </c>
      <c r="C165" s="76">
        <v>30</v>
      </c>
      <c r="D165" s="101"/>
    </row>
    <row r="166" spans="2:6" s="1" customFormat="1" ht="15.95">
      <c r="D166" s="21"/>
    </row>
    <row r="167" spans="2:6" ht="15.95">
      <c r="B167" s="20" t="s">
        <v>126</v>
      </c>
      <c r="C167" s="76">
        <v>60</v>
      </c>
      <c r="D167" s="101" t="s">
        <v>89</v>
      </c>
    </row>
    <row r="168" spans="2:6" ht="15.95">
      <c r="B168" s="20" t="s">
        <v>127</v>
      </c>
      <c r="C168" s="83">
        <v>0.04</v>
      </c>
      <c r="D168" s="101"/>
    </row>
    <row r="169" spans="2:6" ht="15.95">
      <c r="B169" s="20" t="s">
        <v>128</v>
      </c>
      <c r="C169" s="92">
        <f>C167*C168</f>
        <v>2.4</v>
      </c>
      <c r="D169" s="101"/>
    </row>
    <row r="170" spans="2:6" ht="15.95">
      <c r="B170" s="20" t="s">
        <v>129</v>
      </c>
      <c r="C170" s="92">
        <f>C167+C169</f>
        <v>62.4</v>
      </c>
      <c r="D170" s="101"/>
    </row>
    <row r="171" spans="2:6" ht="15.95">
      <c r="B171" s="20" t="s">
        <v>130</v>
      </c>
      <c r="C171" s="66">
        <f>$C$189</f>
        <v>2.5000000000000001E-2</v>
      </c>
      <c r="D171" s="97"/>
    </row>
    <row r="172" spans="2:6" ht="6" customHeight="1">
      <c r="C172" s="67"/>
      <c r="D172" s="97"/>
    </row>
    <row r="173" spans="2:6" ht="15.95">
      <c r="B173" s="20" t="s">
        <v>131</v>
      </c>
      <c r="C173" s="76">
        <v>50</v>
      </c>
      <c r="D173" s="97" t="s">
        <v>89</v>
      </c>
    </row>
    <row r="174" spans="2:6" ht="15.95">
      <c r="B174" s="20" t="s">
        <v>130</v>
      </c>
      <c r="C174" s="66">
        <f>$C$189</f>
        <v>2.5000000000000001E-2</v>
      </c>
      <c r="D174" s="97"/>
    </row>
    <row r="175" spans="2:6" ht="6" customHeight="1">
      <c r="C175" s="67"/>
      <c r="D175" s="97"/>
    </row>
    <row r="176" spans="2:6" ht="15.95">
      <c r="B176" s="20" t="s">
        <v>132</v>
      </c>
      <c r="C176" s="76">
        <v>40</v>
      </c>
      <c r="D176" s="97" t="s">
        <v>89</v>
      </c>
    </row>
    <row r="177" spans="2:4 16384:16384" ht="15.95">
      <c r="B177" s="20" t="s">
        <v>130</v>
      </c>
      <c r="C177" s="66">
        <f>$C$189</f>
        <v>2.5000000000000001E-2</v>
      </c>
      <c r="D177" s="97"/>
    </row>
    <row r="178" spans="2:4 16384:16384" ht="5.0999999999999996" customHeight="1">
      <c r="C178" s="67"/>
      <c r="D178" s="97"/>
    </row>
    <row r="179" spans="2:4 16384:16384" ht="15.95">
      <c r="B179" s="20" t="s">
        <v>130</v>
      </c>
      <c r="C179" s="66">
        <f>$C$189</f>
        <v>2.5000000000000001E-2</v>
      </c>
      <c r="D179" s="97"/>
    </row>
    <row r="180" spans="2:4 16384:16384" s="1" customFormat="1" ht="15.95">
      <c r="D180" s="21"/>
    </row>
    <row r="181" spans="2:4 16384:16384" ht="15.95">
      <c r="B181" s="20" t="s">
        <v>133</v>
      </c>
      <c r="C181" s="73">
        <v>4</v>
      </c>
      <c r="D181" s="100"/>
    </row>
    <row r="182" spans="2:4 16384:16384" ht="15.95">
      <c r="B182" s="20" t="s">
        <v>134</v>
      </c>
      <c r="C182" s="66">
        <v>0.5</v>
      </c>
      <c r="D182" s="97"/>
    </row>
    <row r="183" spans="2:4 16384:16384" ht="15.95">
      <c r="B183" s="20" t="s">
        <v>135</v>
      </c>
      <c r="C183" s="66">
        <v>0.7</v>
      </c>
      <c r="D183" s="97"/>
    </row>
    <row r="184" spans="2:4 16384:16384" ht="15.95">
      <c r="B184" s="20" t="s">
        <v>136</v>
      </c>
      <c r="C184" s="66">
        <v>0.7</v>
      </c>
      <c r="D184" s="97"/>
    </row>
    <row r="185" spans="2:4 16384:16384" ht="15.95">
      <c r="B185" s="20" t="s">
        <v>137</v>
      </c>
      <c r="C185" s="66">
        <v>0.5</v>
      </c>
      <c r="D185" s="97"/>
    </row>
    <row r="186" spans="2:4 16384:16384" ht="15.95">
      <c r="B186" s="20" t="s">
        <v>138</v>
      </c>
      <c r="C186" s="73">
        <v>5</v>
      </c>
      <c r="D186" s="102"/>
    </row>
    <row r="187" spans="2:4 16384:16384" ht="15.95">
      <c r="B187" s="20" t="s">
        <v>139</v>
      </c>
      <c r="C187" s="66">
        <v>0.95</v>
      </c>
      <c r="D187" s="97"/>
    </row>
    <row r="188" spans="2:4 16384:16384" s="1" customFormat="1" ht="15.95">
      <c r="D188" s="21"/>
    </row>
    <row r="189" spans="2:4 16384:16384" ht="15.95">
      <c r="B189" s="20" t="s">
        <v>140</v>
      </c>
      <c r="C189" s="66">
        <v>2.5000000000000001E-2</v>
      </c>
      <c r="D189" s="97"/>
    </row>
    <row r="190" spans="2:4 16384:16384" ht="6.95" customHeight="1">
      <c r="C190" s="67"/>
      <c r="D190" s="97"/>
    </row>
    <row r="191" spans="2:4 16384:16384" ht="15.95">
      <c r="B191" s="20" t="s">
        <v>141</v>
      </c>
      <c r="C191" s="76">
        <v>10</v>
      </c>
      <c r="D191" s="101"/>
      <c r="XFD191" s="20">
        <f>SUM(A191:XFC191)</f>
        <v>10</v>
      </c>
    </row>
    <row r="192" spans="2:4 16384:16384" ht="15.95">
      <c r="B192" s="20" t="s">
        <v>142</v>
      </c>
      <c r="C192" s="76">
        <v>13</v>
      </c>
      <c r="D192" s="101"/>
    </row>
    <row r="193" spans="2:4 16384:16384" ht="15.95">
      <c r="B193" s="20" t="s">
        <v>143</v>
      </c>
      <c r="C193" s="76">
        <v>5</v>
      </c>
      <c r="D193" s="101"/>
    </row>
    <row r="194" spans="2:4 16384:16384" ht="15.95">
      <c r="B194" s="20" t="s">
        <v>144</v>
      </c>
      <c r="C194" s="76">
        <v>8</v>
      </c>
      <c r="D194" s="101"/>
    </row>
    <row r="195" spans="2:4 16384:16384" ht="15.95">
      <c r="B195" s="20" t="s">
        <v>145</v>
      </c>
      <c r="C195" s="76">
        <v>0</v>
      </c>
      <c r="D195" s="101"/>
    </row>
    <row r="196" spans="2:4 16384:16384" ht="15.95">
      <c r="B196" s="20" t="s">
        <v>146</v>
      </c>
      <c r="C196" s="76">
        <v>0</v>
      </c>
      <c r="D196" s="101"/>
    </row>
    <row r="197" spans="2:4 16384:16384" s="1" customFormat="1" ht="15.95">
      <c r="D197" s="21"/>
    </row>
    <row r="198" spans="2:4 16384:16384" ht="15.95">
      <c r="B198" s="20" t="s">
        <v>147</v>
      </c>
      <c r="C198" s="73">
        <v>8</v>
      </c>
      <c r="D198" s="103"/>
      <c r="XFD198" s="20">
        <f>SUM(A198:XFC198)</f>
        <v>8</v>
      </c>
    </row>
    <row r="199" spans="2:4 16384:16384" ht="15.95">
      <c r="B199" s="20" t="s">
        <v>148</v>
      </c>
      <c r="C199" s="66">
        <v>0.06</v>
      </c>
      <c r="D199" s="97"/>
    </row>
    <row r="200" spans="2:4 16384:16384" ht="15.95">
      <c r="B200" s="20" t="s">
        <v>149</v>
      </c>
      <c r="C200" s="66">
        <v>0.05</v>
      </c>
      <c r="D200" s="97"/>
    </row>
    <row r="201" spans="2:4 16384:16384" s="1" customFormat="1" ht="15.95">
      <c r="D201" s="21"/>
    </row>
    <row r="202" spans="2:4 16384:16384" ht="15.95">
      <c r="B202" s="20" t="s">
        <v>150</v>
      </c>
      <c r="C202" s="66">
        <v>0.2</v>
      </c>
      <c r="D202" s="97"/>
    </row>
    <row r="203" spans="2:4 16384:16384" s="1" customFormat="1" ht="15.95">
      <c r="B203" s="43"/>
      <c r="C203" s="43"/>
      <c r="D203" s="21"/>
    </row>
    <row r="204" spans="2:4 16384:16384" ht="15.95">
      <c r="D204" s="21"/>
    </row>
    <row r="205" spans="2:4 16384:16384" ht="15.95">
      <c r="B205" s="22" t="s">
        <v>151</v>
      </c>
      <c r="D205" s="21"/>
    </row>
    <row r="206" spans="2:4 16384:16384" ht="15.95">
      <c r="B206" s="5" t="s">
        <v>21</v>
      </c>
      <c r="C206" s="23" t="s">
        <v>83</v>
      </c>
      <c r="D206" s="21"/>
    </row>
    <row r="207" spans="2:4 16384:16384" ht="15.95">
      <c r="B207" s="20" t="s">
        <v>152</v>
      </c>
      <c r="C207" s="77"/>
      <c r="D207" s="21"/>
    </row>
    <row r="208" spans="2:4 16384:16384" ht="15.95">
      <c r="B208" s="20" t="s">
        <v>153</v>
      </c>
      <c r="C208" s="93">
        <f>C139</f>
        <v>1363</v>
      </c>
      <c r="D208" s="21"/>
    </row>
    <row r="209" spans="2:4" ht="15.95">
      <c r="B209" s="20" t="s">
        <v>154</v>
      </c>
      <c r="C209" s="93">
        <f>ROUNDUP(C133/1000*2.5,0)</f>
        <v>0</v>
      </c>
      <c r="D209" s="21"/>
    </row>
    <row r="210" spans="2:4" ht="15.95">
      <c r="B210" s="20" t="s">
        <v>155</v>
      </c>
      <c r="C210" s="93">
        <f>ROUNDUP(C134/1000*2.5,0)</f>
        <v>780</v>
      </c>
      <c r="D210" s="21"/>
    </row>
    <row r="211" spans="2:4" ht="15.95" customHeight="1">
      <c r="B211" s="20" t="s">
        <v>22</v>
      </c>
      <c r="C211" s="93">
        <f>SUM(C208:C210)</f>
        <v>2143</v>
      </c>
      <c r="D211" s="21"/>
    </row>
    <row r="212" spans="2:4" ht="15.95" customHeight="1">
      <c r="C212" s="77"/>
      <c r="D212" s="21"/>
    </row>
    <row r="213" spans="2:4" ht="15.95" customHeight="1">
      <c r="B213" s="20" t="s">
        <v>156</v>
      </c>
      <c r="C213" s="66">
        <v>0.6</v>
      </c>
      <c r="D213" s="21" t="s">
        <v>89</v>
      </c>
    </row>
    <row r="214" spans="2:4" ht="15.95" customHeight="1">
      <c r="B214" s="20" t="s">
        <v>157</v>
      </c>
      <c r="C214" s="93">
        <f>ROUNDUP($C$211*C213,0)</f>
        <v>1286</v>
      </c>
      <c r="D214" s="21"/>
    </row>
    <row r="215" spans="2:4" ht="15.95" customHeight="1">
      <c r="B215" s="20" t="s">
        <v>158</v>
      </c>
      <c r="C215" s="64">
        <v>350</v>
      </c>
      <c r="D215" s="21"/>
    </row>
    <row r="216" spans="2:4" ht="15.95" customHeight="1">
      <c r="B216" s="20" t="s">
        <v>159</v>
      </c>
      <c r="C216" s="94">
        <f>C214*C215</f>
        <v>450100</v>
      </c>
      <c r="D216" s="21"/>
    </row>
    <row r="217" spans="2:4" ht="15.95" customHeight="1">
      <c r="B217" s="20" t="s">
        <v>160</v>
      </c>
      <c r="C217" s="66">
        <v>0.4</v>
      </c>
      <c r="D217" s="21" t="s">
        <v>89</v>
      </c>
    </row>
    <row r="218" spans="2:4" ht="15.95" customHeight="1">
      <c r="B218" s="20" t="s">
        <v>161</v>
      </c>
      <c r="C218" s="93">
        <f>ROUNDUP($C$211*C217,0)</f>
        <v>858</v>
      </c>
      <c r="D218" s="21"/>
    </row>
    <row r="219" spans="2:4" ht="15.95" customHeight="1">
      <c r="B219" s="20" t="s">
        <v>158</v>
      </c>
      <c r="C219" s="64">
        <v>350</v>
      </c>
      <c r="D219" s="21"/>
    </row>
    <row r="220" spans="2:4" ht="15.95" customHeight="1">
      <c r="B220" s="20" t="s">
        <v>162</v>
      </c>
      <c r="C220" s="94">
        <f>C218*C219</f>
        <v>300300</v>
      </c>
      <c r="D220" s="21"/>
    </row>
    <row r="221" spans="2:4" ht="15.95" customHeight="1">
      <c r="C221" s="77"/>
      <c r="D221" s="21"/>
    </row>
    <row r="222" spans="2:4" s="1" customFormat="1" ht="15.95" customHeight="1">
      <c r="B222" s="26" t="s">
        <v>163</v>
      </c>
      <c r="C222" s="77"/>
      <c r="D222" s="21"/>
    </row>
    <row r="223" spans="2:4" s="1" customFormat="1" ht="15" customHeight="1">
      <c r="B223" s="20" t="s">
        <v>164</v>
      </c>
      <c r="C223" s="76">
        <v>50000</v>
      </c>
      <c r="D223" s="21"/>
    </row>
    <row r="224" spans="2:4" s="1" customFormat="1" ht="15" customHeight="1">
      <c r="B224" s="20" t="s">
        <v>165</v>
      </c>
      <c r="C224" s="76">
        <v>25000</v>
      </c>
      <c r="D224" s="21"/>
    </row>
    <row r="225" spans="1:4 16384:16384" ht="15.95">
      <c r="B225" s="20" t="s">
        <v>36</v>
      </c>
      <c r="C225" s="66">
        <v>0.2</v>
      </c>
      <c r="D225" s="21"/>
    </row>
    <row r="226" spans="1:4 16384:16384" ht="6.95" customHeight="1">
      <c r="C226" s="67"/>
      <c r="D226" s="21"/>
    </row>
    <row r="227" spans="1:4 16384:16384" ht="15.95">
      <c r="B227" s="20" t="s">
        <v>166</v>
      </c>
      <c r="C227" s="85">
        <v>125</v>
      </c>
      <c r="D227" s="21"/>
    </row>
    <row r="228" spans="1:4 16384:16384" ht="15.95">
      <c r="B228" s="20" t="s">
        <v>167</v>
      </c>
      <c r="C228" s="83">
        <v>0.95</v>
      </c>
      <c r="D228" s="21"/>
    </row>
    <row r="229" spans="1:4 16384:16384" ht="15.95">
      <c r="D229" s="21"/>
    </row>
    <row r="230" spans="1:4 16384:16384" ht="15.95">
      <c r="B230" s="22" t="s">
        <v>168</v>
      </c>
      <c r="D230" s="21"/>
    </row>
    <row r="231" spans="1:4 16384:16384" ht="15.95">
      <c r="A231" s="1"/>
      <c r="B231" s="5" t="s">
        <v>21</v>
      </c>
      <c r="C231" s="23" t="s">
        <v>83</v>
      </c>
      <c r="D231" s="104"/>
    </row>
    <row r="232" spans="1:4 16384:16384" s="1" customFormat="1" ht="15.95">
      <c r="B232" s="63"/>
      <c r="C232" s="80"/>
      <c r="D232" s="104"/>
    </row>
    <row r="233" spans="1:4 16384:16384" ht="15.95">
      <c r="B233" s="25" t="s">
        <v>59</v>
      </c>
      <c r="D233" s="21"/>
    </row>
    <row r="234" spans="1:4 16384:16384" ht="15.95">
      <c r="B234" s="26" t="s">
        <v>169</v>
      </c>
      <c r="C234" s="66">
        <v>0.65</v>
      </c>
      <c r="D234" s="21"/>
      <c r="XFD234" s="20">
        <f>SUM(A234:XFC234)</f>
        <v>0.65</v>
      </c>
    </row>
    <row r="235" spans="1:4 16384:16384" ht="15.95">
      <c r="B235" s="26" t="s">
        <v>170</v>
      </c>
      <c r="C235" s="66">
        <v>6.25E-2</v>
      </c>
      <c r="D235" s="21"/>
    </row>
    <row r="236" spans="1:4 16384:16384" ht="15.95">
      <c r="B236" s="26" t="s">
        <v>171</v>
      </c>
      <c r="C236" s="28">
        <f>-(C26+C27)</f>
        <v>38600000</v>
      </c>
      <c r="D236" s="21"/>
    </row>
    <row r="237" spans="1:4 16384:16384" ht="15.95">
      <c r="B237" s="26" t="s">
        <v>172</v>
      </c>
      <c r="C237" s="28">
        <f>C234*C236</f>
        <v>25090000</v>
      </c>
      <c r="D237" s="21"/>
    </row>
    <row r="238" spans="1:4 16384:16384" ht="15.95">
      <c r="B238" s="26" t="s">
        <v>173</v>
      </c>
      <c r="C238" s="66">
        <v>1.4999999999999999E-2</v>
      </c>
      <c r="D238" s="21"/>
    </row>
    <row r="239" spans="1:4 16384:16384" s="1" customFormat="1" ht="15.95">
      <c r="C239" s="81"/>
      <c r="D239" s="21"/>
    </row>
    <row r="240" spans="1:4 16384:16384" ht="15.95">
      <c r="B240" s="25" t="s">
        <v>66</v>
      </c>
      <c r="D240" s="21"/>
    </row>
    <row r="241" spans="2:4" ht="15.95">
      <c r="B241" s="26" t="s">
        <v>174</v>
      </c>
      <c r="C241" s="66">
        <v>0.75</v>
      </c>
      <c r="D241" s="21"/>
    </row>
    <row r="242" spans="2:4" ht="15.95">
      <c r="B242" s="26" t="s">
        <v>175</v>
      </c>
      <c r="C242" s="82">
        <v>1.2</v>
      </c>
      <c r="D242" s="21"/>
    </row>
    <row r="243" spans="2:4" ht="15.95">
      <c r="B243" s="26" t="s">
        <v>176</v>
      </c>
      <c r="C243" s="73">
        <v>30</v>
      </c>
      <c r="D243" s="21"/>
    </row>
    <row r="244" spans="2:4" ht="15.95">
      <c r="B244" s="26" t="s">
        <v>177</v>
      </c>
      <c r="C244" s="73">
        <v>10</v>
      </c>
      <c r="D244" s="21"/>
    </row>
    <row r="245" spans="2:4" ht="15.95">
      <c r="B245" s="26" t="s">
        <v>178</v>
      </c>
      <c r="C245" s="66">
        <v>5.2499999999999998E-2</v>
      </c>
      <c r="D245" s="21"/>
    </row>
    <row r="246" spans="2:4" ht="15.95">
      <c r="B246" s="26" t="s">
        <v>47</v>
      </c>
      <c r="C246" s="28">
        <f>C55</f>
        <v>76351233.949272096</v>
      </c>
      <c r="D246" s="21"/>
    </row>
    <row r="247" spans="2:4" ht="15.95">
      <c r="B247" s="26" t="s">
        <v>179</v>
      </c>
      <c r="C247" s="66">
        <v>1.4999999999999999E-2</v>
      </c>
      <c r="D247" s="21"/>
    </row>
    <row r="248" spans="2:4" s="1" customFormat="1" ht="15.95">
      <c r="D248" s="21"/>
    </row>
    <row r="249" spans="2:4" ht="15.95">
      <c r="B249" s="20" t="s">
        <v>180</v>
      </c>
      <c r="C249" s="54">
        <f>C55/C199*C241</f>
        <v>954390424.36590123</v>
      </c>
      <c r="D249" s="21"/>
    </row>
    <row r="250" spans="2:4" ht="15.95">
      <c r="B250" s="20" t="s">
        <v>181</v>
      </c>
      <c r="C250" s="54">
        <f>-PV(C245,C243,C55/C242,0,0)</f>
        <v>950821039.47733939</v>
      </c>
      <c r="D250" s="21"/>
    </row>
    <row r="251" spans="2:4" ht="15.95">
      <c r="B251" s="20" t="s">
        <v>182</v>
      </c>
      <c r="C251" s="54">
        <f>MIN(C249:C250)</f>
        <v>950821039.47733939</v>
      </c>
      <c r="D251" s="21"/>
    </row>
    <row r="252" spans="2:4" s="1" customFormat="1" ht="66.95" customHeight="1">
      <c r="B252" s="43"/>
      <c r="C252" s="43"/>
      <c r="D252" s="21"/>
    </row>
    <row r="253" spans="2:4" ht="15.95">
      <c r="D253" s="21"/>
    </row>
    <row r="257" s="20" customFormat="1"/>
    <row r="258" s="20" customFormat="1"/>
    <row r="259" s="20" customFormat="1"/>
    <row r="260" s="20" customFormat="1"/>
    <row r="261" s="20" customFormat="1"/>
    <row r="262" s="20" customFormat="1"/>
    <row r="263" s="20" customFormat="1"/>
    <row r="264" s="20" customFormat="1"/>
    <row r="265" s="20" customFormat="1"/>
    <row r="266" s="20" customFormat="1"/>
    <row r="267" s="20" customFormat="1"/>
    <row r="268" s="20" customFormat="1"/>
  </sheetData>
  <pageMargins left="0.25" right="0.25" top="0.75" bottom="0.75" header="0.3" footer="0.3"/>
  <pageSetup paperSize="5" scale="43" fitToHeight="0" orientation="portrait" r:id="rId1"/>
  <headerFooter>
    <oddHeader>Page &amp;P of &amp;N</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BF123-B672-2044-A8FD-341BB9B774B3}">
  <sheetPr codeName="Sheet7">
    <pageSetUpPr fitToPage="1"/>
  </sheetPr>
  <dimension ref="A2:XFD262"/>
  <sheetViews>
    <sheetView tabSelected="1" workbookViewId="0">
      <selection activeCell="E5" sqref="E5"/>
    </sheetView>
  </sheetViews>
  <sheetFormatPr defaultColWidth="9.140625" defaultRowHeight="15"/>
  <cols>
    <col min="1" max="1" width="2.140625" style="20" customWidth="1"/>
    <col min="2" max="2" width="52.85546875" style="20" customWidth="1"/>
    <col min="3" max="3" width="14.7109375" style="20" customWidth="1"/>
    <col min="4" max="4" width="2.7109375" style="20" customWidth="1"/>
    <col min="5" max="14" width="14.7109375" style="20" customWidth="1"/>
    <col min="15" max="16384" width="9.140625" style="20"/>
  </cols>
  <sheetData>
    <row r="2" spans="1:15 16384:16384" ht="15.95">
      <c r="B2" s="2" t="s">
        <v>18</v>
      </c>
      <c r="C2" s="2"/>
      <c r="D2" s="2"/>
      <c r="E2" s="2"/>
    </row>
    <row r="3" spans="1:15 16384:16384" ht="15.95">
      <c r="B3" s="21" t="s">
        <v>19</v>
      </c>
      <c r="C3" s="21"/>
      <c r="D3" s="21"/>
      <c r="E3" s="21"/>
    </row>
    <row r="4" spans="1:15 16384:16384" ht="15.95">
      <c r="B4" s="3">
        <f ca="1">TODAY()</f>
        <v>45335</v>
      </c>
      <c r="C4" s="3"/>
      <c r="D4" s="3"/>
      <c r="E4" s="3"/>
    </row>
    <row r="6" spans="1:15 16384:16384" ht="18">
      <c r="B6" s="4"/>
      <c r="C6" s="4"/>
      <c r="D6" s="4"/>
      <c r="E6" s="4"/>
    </row>
    <row r="8" spans="1:15 16384:16384">
      <c r="B8" s="22" t="s">
        <v>20</v>
      </c>
    </row>
    <row r="9" spans="1:15 16384:16384">
      <c r="B9" s="5" t="s">
        <v>21</v>
      </c>
      <c r="C9" s="23" t="s">
        <v>22</v>
      </c>
      <c r="D9" s="23"/>
      <c r="E9" s="24">
        <v>1</v>
      </c>
      <c r="F9" s="24">
        <f>E9+1</f>
        <v>2</v>
      </c>
      <c r="G9" s="24">
        <f t="shared" ref="G9:N9" si="0">F9+1</f>
        <v>3</v>
      </c>
      <c r="H9" s="24">
        <f t="shared" si="0"/>
        <v>4</v>
      </c>
      <c r="I9" s="24">
        <f t="shared" si="0"/>
        <v>5</v>
      </c>
      <c r="J9" s="24">
        <f t="shared" si="0"/>
        <v>6</v>
      </c>
      <c r="K9" s="24">
        <f t="shared" si="0"/>
        <v>7</v>
      </c>
      <c r="L9" s="24">
        <f t="shared" si="0"/>
        <v>8</v>
      </c>
      <c r="M9" s="24">
        <f t="shared" si="0"/>
        <v>9</v>
      </c>
      <c r="N9" s="24">
        <f t="shared" si="0"/>
        <v>10</v>
      </c>
      <c r="O9" s="20" t="s">
        <v>23</v>
      </c>
    </row>
    <row r="10" spans="1:15 16384:16384" s="1" customFormat="1" ht="15" customHeight="1">
      <c r="E10" s="21"/>
      <c r="F10" s="21">
        <v>1</v>
      </c>
      <c r="G10" s="21">
        <v>2</v>
      </c>
      <c r="H10" s="21">
        <v>3</v>
      </c>
      <c r="I10" s="21">
        <v>4</v>
      </c>
      <c r="J10" s="21">
        <v>5</v>
      </c>
      <c r="K10" s="21">
        <v>6</v>
      </c>
      <c r="L10" s="21">
        <v>7</v>
      </c>
      <c r="M10" s="21">
        <v>8</v>
      </c>
      <c r="N10" s="21">
        <v>9</v>
      </c>
      <c r="O10" s="1" t="s">
        <v>23</v>
      </c>
    </row>
    <row r="11" spans="1:15 16384:16384">
      <c r="A11" s="1"/>
      <c r="B11" s="25" t="s">
        <v>24</v>
      </c>
      <c r="C11" s="25"/>
      <c r="D11" s="25"/>
      <c r="O11" s="20" t="s">
        <v>23</v>
      </c>
    </row>
    <row r="12" spans="1:15 16384:16384">
      <c r="B12" s="26" t="s">
        <v>25</v>
      </c>
      <c r="C12" s="27">
        <f>SUM(E12:N12)</f>
        <v>-10000000</v>
      </c>
      <c r="D12" s="27"/>
      <c r="E12" s="28">
        <f>-$C$143</f>
        <v>-10000000</v>
      </c>
      <c r="F12" s="28"/>
      <c r="G12" s="28"/>
      <c r="H12" s="28"/>
      <c r="I12" s="28"/>
      <c r="J12" s="28"/>
      <c r="K12" s="28"/>
      <c r="L12" s="28"/>
      <c r="M12" s="28"/>
      <c r="N12" s="28"/>
      <c r="O12" s="20" t="s">
        <v>23</v>
      </c>
    </row>
    <row r="13" spans="1:15 16384:16384">
      <c r="A13" s="1"/>
      <c r="B13" s="26" t="s">
        <v>26</v>
      </c>
      <c r="C13" s="27">
        <f>SUM(E13:N13)</f>
        <v>-500000</v>
      </c>
      <c r="D13" s="27"/>
      <c r="E13" s="28">
        <f>$C$144*E12</f>
        <v>-500000</v>
      </c>
      <c r="F13" s="28"/>
      <c r="G13" s="28"/>
      <c r="H13" s="28"/>
      <c r="I13" s="28"/>
      <c r="J13" s="28"/>
      <c r="K13" s="28"/>
      <c r="L13" s="28"/>
      <c r="M13" s="28"/>
      <c r="N13" s="28"/>
      <c r="O13" s="20" t="s">
        <v>23</v>
      </c>
      <c r="XFD13" s="20">
        <f>SUM(A13:XFC13)</f>
        <v>-1000000</v>
      </c>
    </row>
    <row r="14" spans="1:15 16384:16384">
      <c r="A14" s="1"/>
      <c r="B14" s="26" t="s">
        <v>27</v>
      </c>
      <c r="C14" s="27">
        <f>SUM(E14:N14)</f>
        <v>-4000000</v>
      </c>
      <c r="D14" s="27"/>
      <c r="E14" s="28">
        <f>-C145</f>
        <v>-4000000</v>
      </c>
      <c r="F14" s="28"/>
      <c r="G14" s="28"/>
      <c r="H14" s="28"/>
      <c r="I14" s="28"/>
      <c r="J14" s="28"/>
      <c r="K14" s="28"/>
      <c r="L14" s="28"/>
      <c r="M14" s="28"/>
      <c r="N14" s="28"/>
    </row>
    <row r="15" spans="1:15 16384:16384" ht="5.0999999999999996" customHeight="1">
      <c r="A15" s="1"/>
      <c r="B15" s="26"/>
      <c r="C15" s="27"/>
      <c r="D15" s="27"/>
      <c r="E15" s="28"/>
      <c r="F15" s="28"/>
      <c r="G15" s="28"/>
      <c r="H15" s="28"/>
      <c r="I15" s="28"/>
      <c r="J15" s="28"/>
      <c r="K15" s="28"/>
      <c r="L15" s="28"/>
      <c r="M15" s="28"/>
      <c r="N15" s="28"/>
    </row>
    <row r="16" spans="1:15 16384:16384">
      <c r="A16" s="1"/>
      <c r="B16" s="26" t="s">
        <v>28</v>
      </c>
      <c r="C16" s="27"/>
      <c r="D16" s="27"/>
      <c r="E16" s="28">
        <f>-IF(OR($C$153=E$9,$C$153=E$9-1),$C$147*(1/$C$154)*$C$127,0)</f>
        <v>0</v>
      </c>
      <c r="F16" s="28">
        <f t="shared" ref="F16:N16" si="1">-IF(OR($C$153=F$9,$C$153=F$9-1),$C$147*(1/$C$154)*$C$127,0)</f>
        <v>-36660160</v>
      </c>
      <c r="G16" s="28">
        <f t="shared" si="1"/>
        <v>-36660160</v>
      </c>
      <c r="H16" s="28">
        <f t="shared" si="1"/>
        <v>0</v>
      </c>
      <c r="I16" s="28">
        <f t="shared" si="1"/>
        <v>0</v>
      </c>
      <c r="J16" s="28">
        <f t="shared" si="1"/>
        <v>0</v>
      </c>
      <c r="K16" s="28">
        <f t="shared" si="1"/>
        <v>0</v>
      </c>
      <c r="L16" s="28">
        <f t="shared" si="1"/>
        <v>0</v>
      </c>
      <c r="M16" s="28">
        <f t="shared" si="1"/>
        <v>0</v>
      </c>
      <c r="N16" s="28">
        <f t="shared" si="1"/>
        <v>0</v>
      </c>
      <c r="O16" s="20" t="s">
        <v>23</v>
      </c>
    </row>
    <row r="17" spans="1:15">
      <c r="A17" s="1"/>
      <c r="B17" s="26" t="s">
        <v>29</v>
      </c>
      <c r="C17" s="27"/>
      <c r="D17" s="27"/>
      <c r="E17" s="28">
        <f>$C$148*E16</f>
        <v>0</v>
      </c>
      <c r="F17" s="28">
        <f t="shared" ref="F17:N17" si="2">$C$148*F16</f>
        <v>-7332032</v>
      </c>
      <c r="G17" s="28">
        <f t="shared" si="2"/>
        <v>-7332032</v>
      </c>
      <c r="H17" s="28">
        <f t="shared" si="2"/>
        <v>0</v>
      </c>
      <c r="I17" s="28">
        <f t="shared" si="2"/>
        <v>0</v>
      </c>
      <c r="J17" s="28">
        <f t="shared" si="2"/>
        <v>0</v>
      </c>
      <c r="K17" s="28">
        <f t="shared" si="2"/>
        <v>0</v>
      </c>
      <c r="L17" s="28">
        <f t="shared" si="2"/>
        <v>0</v>
      </c>
      <c r="M17" s="28">
        <f t="shared" si="2"/>
        <v>0</v>
      </c>
      <c r="N17" s="28">
        <f t="shared" si="2"/>
        <v>0</v>
      </c>
      <c r="O17" s="20" t="s">
        <v>23</v>
      </c>
    </row>
    <row r="18" spans="1:15" ht="5.0999999999999996" customHeight="1">
      <c r="A18" s="1"/>
      <c r="B18" s="26"/>
      <c r="C18" s="27"/>
      <c r="D18" s="27"/>
      <c r="E18" s="28"/>
      <c r="F18" s="28"/>
      <c r="G18" s="28"/>
      <c r="H18" s="28"/>
      <c r="I18" s="28"/>
      <c r="J18" s="28"/>
      <c r="K18" s="28"/>
      <c r="L18" s="28"/>
      <c r="M18" s="28"/>
      <c r="N18" s="28"/>
    </row>
    <row r="19" spans="1:15">
      <c r="A19" s="1"/>
      <c r="B19" s="26" t="s">
        <v>30</v>
      </c>
      <c r="C19" s="27"/>
      <c r="D19" s="27"/>
      <c r="E19" s="28">
        <f>-IF(OR($C$153=E$9,$C$153=E$9-1),$C$149*(1/$C$154)*$C$128,0)</f>
        <v>0</v>
      </c>
      <c r="F19" s="28">
        <f t="shared" ref="F19:N19" si="3">-IF(OR($C$153=F$9,$C$153=F$9-1),$C$149*(1/$C$154)*$C$128,0)</f>
        <v>-18330080</v>
      </c>
      <c r="G19" s="28">
        <f t="shared" si="3"/>
        <v>-18330080</v>
      </c>
      <c r="H19" s="28">
        <f t="shared" si="3"/>
        <v>0</v>
      </c>
      <c r="I19" s="28">
        <f t="shared" si="3"/>
        <v>0</v>
      </c>
      <c r="J19" s="28">
        <f t="shared" si="3"/>
        <v>0</v>
      </c>
      <c r="K19" s="28">
        <f t="shared" si="3"/>
        <v>0</v>
      </c>
      <c r="L19" s="28">
        <f t="shared" si="3"/>
        <v>0</v>
      </c>
      <c r="M19" s="28">
        <f t="shared" si="3"/>
        <v>0</v>
      </c>
      <c r="N19" s="28">
        <f t="shared" si="3"/>
        <v>0</v>
      </c>
      <c r="O19" s="20" t="s">
        <v>23</v>
      </c>
    </row>
    <row r="20" spans="1:15">
      <c r="A20" s="1"/>
      <c r="B20" s="26" t="s">
        <v>31</v>
      </c>
      <c r="C20" s="27"/>
      <c r="D20" s="27"/>
      <c r="E20" s="28">
        <f>$C$148*E19</f>
        <v>0</v>
      </c>
      <c r="F20" s="28">
        <f t="shared" ref="F20:N20" si="4">$C$148*F19</f>
        <v>-3666016</v>
      </c>
      <c r="G20" s="28">
        <f t="shared" si="4"/>
        <v>-3666016</v>
      </c>
      <c r="H20" s="28">
        <f t="shared" si="4"/>
        <v>0</v>
      </c>
      <c r="I20" s="28">
        <f t="shared" si="4"/>
        <v>0</v>
      </c>
      <c r="J20" s="28">
        <f t="shared" si="4"/>
        <v>0</v>
      </c>
      <c r="K20" s="28">
        <f t="shared" si="4"/>
        <v>0</v>
      </c>
      <c r="L20" s="28">
        <f t="shared" si="4"/>
        <v>0</v>
      </c>
      <c r="M20" s="28">
        <f t="shared" si="4"/>
        <v>0</v>
      </c>
      <c r="N20" s="28">
        <f t="shared" si="4"/>
        <v>0</v>
      </c>
      <c r="O20" s="20" t="s">
        <v>23</v>
      </c>
    </row>
    <row r="21" spans="1:15" ht="5.0999999999999996" customHeight="1">
      <c r="A21" s="1"/>
      <c r="B21" s="26"/>
      <c r="C21" s="27"/>
      <c r="D21" s="27"/>
      <c r="E21" s="28"/>
      <c r="F21" s="28"/>
      <c r="G21" s="28"/>
      <c r="H21" s="28"/>
      <c r="I21" s="28"/>
      <c r="J21" s="28"/>
      <c r="K21" s="28"/>
      <c r="L21" s="28"/>
      <c r="M21" s="28"/>
      <c r="N21" s="28"/>
    </row>
    <row r="22" spans="1:15">
      <c r="A22" s="1"/>
      <c r="B22" s="26" t="s">
        <v>32</v>
      </c>
      <c r="C22" s="27"/>
      <c r="D22" s="27"/>
      <c r="E22" s="28">
        <f>-IF(OR($C$153=E$9,$C$153=E$9-1),$C$151*(1/$C$154)*$C$129,0)</f>
        <v>0</v>
      </c>
      <c r="F22" s="28">
        <f t="shared" ref="F22:N22" si="5">-IF(OR($C$153=F$9,$C$153=F$9-1),$C$151*(1/$C$154)*$C$129,0)</f>
        <v>-18330080</v>
      </c>
      <c r="G22" s="28">
        <f t="shared" si="5"/>
        <v>-18330080</v>
      </c>
      <c r="H22" s="28">
        <f t="shared" si="5"/>
        <v>0</v>
      </c>
      <c r="I22" s="28">
        <f t="shared" si="5"/>
        <v>0</v>
      </c>
      <c r="J22" s="28">
        <f t="shared" si="5"/>
        <v>0</v>
      </c>
      <c r="K22" s="28">
        <f t="shared" si="5"/>
        <v>0</v>
      </c>
      <c r="L22" s="28">
        <f t="shared" si="5"/>
        <v>0</v>
      </c>
      <c r="M22" s="28">
        <f t="shared" si="5"/>
        <v>0</v>
      </c>
      <c r="N22" s="28">
        <f t="shared" si="5"/>
        <v>0</v>
      </c>
      <c r="O22" s="20" t="s">
        <v>23</v>
      </c>
    </row>
    <row r="23" spans="1:15">
      <c r="A23" s="1"/>
      <c r="B23" s="26" t="s">
        <v>33</v>
      </c>
      <c r="C23" s="27"/>
      <c r="D23" s="27"/>
      <c r="E23" s="28">
        <f>$C$148*E22</f>
        <v>0</v>
      </c>
      <c r="F23" s="28">
        <f t="shared" ref="F23:N23" si="6">$C$148*F22</f>
        <v>-3666016</v>
      </c>
      <c r="G23" s="28">
        <f t="shared" si="6"/>
        <v>-3666016</v>
      </c>
      <c r="H23" s="28">
        <f t="shared" si="6"/>
        <v>0</v>
      </c>
      <c r="I23" s="28">
        <f t="shared" si="6"/>
        <v>0</v>
      </c>
      <c r="J23" s="28">
        <f t="shared" si="6"/>
        <v>0</v>
      </c>
      <c r="K23" s="28">
        <f t="shared" si="6"/>
        <v>0</v>
      </c>
      <c r="L23" s="28">
        <f t="shared" si="6"/>
        <v>0</v>
      </c>
      <c r="M23" s="28">
        <f t="shared" si="6"/>
        <v>0</v>
      </c>
      <c r="N23" s="28">
        <f t="shared" si="6"/>
        <v>0</v>
      </c>
      <c r="O23" s="20" t="s">
        <v>23</v>
      </c>
    </row>
    <row r="24" spans="1:15" ht="5.0999999999999996" customHeight="1">
      <c r="A24" s="1"/>
      <c r="B24" s="26"/>
      <c r="C24" s="27"/>
      <c r="D24" s="27"/>
      <c r="E24" s="28"/>
      <c r="F24" s="28"/>
      <c r="G24" s="28"/>
      <c r="H24" s="28"/>
      <c r="I24" s="28"/>
      <c r="J24" s="28"/>
      <c r="K24" s="28"/>
      <c r="L24" s="28"/>
      <c r="M24" s="28"/>
      <c r="N24" s="28"/>
    </row>
    <row r="25" spans="1:15" ht="15" customHeight="1">
      <c r="A25" s="1"/>
      <c r="B25" s="26" t="s">
        <v>34</v>
      </c>
      <c r="C25" s="27">
        <f>SUM(E25:N25)</f>
        <v>-39600000</v>
      </c>
      <c r="D25" s="27"/>
      <c r="E25" s="28">
        <f t="shared" ref="E25:N25" si="7">-IF(OR($C$153=E$9,$C$153=E$9-1),($C$219*$C$210)*(1/$C$154),0)</f>
        <v>0</v>
      </c>
      <c r="F25" s="28">
        <f t="shared" si="7"/>
        <v>-19800000</v>
      </c>
      <c r="G25" s="28">
        <f t="shared" si="7"/>
        <v>-19800000</v>
      </c>
      <c r="H25" s="28">
        <f t="shared" si="7"/>
        <v>0</v>
      </c>
      <c r="I25" s="28">
        <f t="shared" si="7"/>
        <v>0</v>
      </c>
      <c r="J25" s="28">
        <f t="shared" si="7"/>
        <v>0</v>
      </c>
      <c r="K25" s="28">
        <f t="shared" si="7"/>
        <v>0</v>
      </c>
      <c r="L25" s="28">
        <f t="shared" si="7"/>
        <v>0</v>
      </c>
      <c r="M25" s="28">
        <f t="shared" si="7"/>
        <v>0</v>
      </c>
      <c r="N25" s="28">
        <f t="shared" si="7"/>
        <v>0</v>
      </c>
    </row>
    <row r="26" spans="1:15">
      <c r="A26" s="1"/>
      <c r="B26" s="26" t="s">
        <v>35</v>
      </c>
      <c r="C26" s="27">
        <f>SUM(E26:N26)</f>
        <v>-13200000</v>
      </c>
      <c r="D26" s="27"/>
      <c r="E26" s="28">
        <f t="shared" ref="E26:N26" si="8">-IF(OR($C$153=E$9,$C$153=E$9-1),($C$220*$C$214)*(1/$C$154),0)</f>
        <v>0</v>
      </c>
      <c r="F26" s="28">
        <f t="shared" si="8"/>
        <v>-6600000</v>
      </c>
      <c r="G26" s="28">
        <f t="shared" si="8"/>
        <v>-6600000</v>
      </c>
      <c r="H26" s="28">
        <f t="shared" si="8"/>
        <v>0</v>
      </c>
      <c r="I26" s="28">
        <f t="shared" si="8"/>
        <v>0</v>
      </c>
      <c r="J26" s="28">
        <f t="shared" si="8"/>
        <v>0</v>
      </c>
      <c r="K26" s="28">
        <f t="shared" si="8"/>
        <v>0</v>
      </c>
      <c r="L26" s="28">
        <f t="shared" si="8"/>
        <v>0</v>
      </c>
      <c r="M26" s="28">
        <f t="shared" si="8"/>
        <v>0</v>
      </c>
      <c r="N26" s="28">
        <f t="shared" si="8"/>
        <v>0</v>
      </c>
      <c r="O26" s="20" t="s">
        <v>23</v>
      </c>
    </row>
    <row r="27" spans="1:15">
      <c r="A27" s="1"/>
      <c r="B27" s="26" t="s">
        <v>36</v>
      </c>
      <c r="C27" s="27">
        <f>SUM(E27:N27)</f>
        <v>-10560000</v>
      </c>
      <c r="D27" s="27"/>
      <c r="E27" s="28">
        <f>$C$148*(E25+E26)</f>
        <v>0</v>
      </c>
      <c r="F27" s="28">
        <f t="shared" ref="F27:N27" si="9">$C$148*(F25+F26)</f>
        <v>-5280000</v>
      </c>
      <c r="G27" s="28">
        <f t="shared" si="9"/>
        <v>-5280000</v>
      </c>
      <c r="H27" s="28">
        <f t="shared" si="9"/>
        <v>0</v>
      </c>
      <c r="I27" s="28">
        <f t="shared" si="9"/>
        <v>0</v>
      </c>
      <c r="J27" s="28">
        <f t="shared" si="9"/>
        <v>0</v>
      </c>
      <c r="K27" s="28">
        <f t="shared" si="9"/>
        <v>0</v>
      </c>
      <c r="L27" s="28">
        <f t="shared" si="9"/>
        <v>0</v>
      </c>
      <c r="M27" s="28">
        <f t="shared" si="9"/>
        <v>0</v>
      </c>
      <c r="N27" s="28">
        <f t="shared" si="9"/>
        <v>0</v>
      </c>
      <c r="O27" s="20" t="s">
        <v>23</v>
      </c>
    </row>
    <row r="28" spans="1:15" s="25" customFormat="1">
      <c r="A28" s="20"/>
      <c r="B28" s="29" t="str">
        <f>"Total "&amp;B11</f>
        <v>Total Development Costs</v>
      </c>
      <c r="C28" s="30">
        <f>SUM(E28:N28)</f>
        <v>-253828768</v>
      </c>
      <c r="D28" s="30"/>
      <c r="E28" s="31">
        <f t="shared" ref="E28:N28" si="10">SUM(E12:E27)</f>
        <v>-14500000</v>
      </c>
      <c r="F28" s="31">
        <f t="shared" si="10"/>
        <v>-119664384</v>
      </c>
      <c r="G28" s="31">
        <f t="shared" si="10"/>
        <v>-119664384</v>
      </c>
      <c r="H28" s="31">
        <f t="shared" si="10"/>
        <v>0</v>
      </c>
      <c r="I28" s="31">
        <f t="shared" si="10"/>
        <v>0</v>
      </c>
      <c r="J28" s="31">
        <f t="shared" si="10"/>
        <v>0</v>
      </c>
      <c r="K28" s="31">
        <f t="shared" si="10"/>
        <v>0</v>
      </c>
      <c r="L28" s="31">
        <f t="shared" si="10"/>
        <v>0</v>
      </c>
      <c r="M28" s="31">
        <f t="shared" si="10"/>
        <v>0</v>
      </c>
      <c r="N28" s="31">
        <f t="shared" si="10"/>
        <v>0</v>
      </c>
      <c r="O28" s="20" t="s">
        <v>23</v>
      </c>
    </row>
    <row r="29" spans="1:15" s="1" customFormat="1" ht="6.95">
      <c r="O29" s="1" t="s">
        <v>23</v>
      </c>
    </row>
    <row r="30" spans="1:15">
      <c r="B30" s="25" t="s">
        <v>37</v>
      </c>
      <c r="C30" s="25"/>
      <c r="D30" s="25"/>
      <c r="O30" s="20" t="s">
        <v>23</v>
      </c>
    </row>
    <row r="31" spans="1:15">
      <c r="A31" s="1"/>
      <c r="B31" s="26" t="s">
        <v>38</v>
      </c>
      <c r="C31" s="27">
        <f>SUM(E31:N31)</f>
        <v>146598712.86690599</v>
      </c>
      <c r="D31" s="27"/>
      <c r="E31" s="28">
        <f>IF(E$9&gt;$C$155-1,$C$162*$C$132*(1+$C$166)^E$10,0)</f>
        <v>0</v>
      </c>
      <c r="F31" s="28">
        <f t="shared" ref="F31:N31" si="11">IF(F$9&gt;$C$155-1,$C$162*$C$132*(1+$C$166)^F$10,0)</f>
        <v>0</v>
      </c>
      <c r="G31" s="28">
        <f t="shared" si="11"/>
        <v>0</v>
      </c>
      <c r="H31" s="28">
        <f>IF(H$9&gt;$C$155-1,$C$162*$C$132*(1+$C$166)^H$10,0)</f>
        <v>19423659.44658</v>
      </c>
      <c r="I31" s="28">
        <f t="shared" si="11"/>
        <v>19909250.932744499</v>
      </c>
      <c r="J31" s="28">
        <f t="shared" si="11"/>
        <v>20406982.20606311</v>
      </c>
      <c r="K31" s="28">
        <f t="shared" si="11"/>
        <v>20917156.761214685</v>
      </c>
      <c r="L31" s="28">
        <f t="shared" si="11"/>
        <v>21440085.680245053</v>
      </c>
      <c r="M31" s="28">
        <f t="shared" si="11"/>
        <v>21976087.822251178</v>
      </c>
      <c r="N31" s="28">
        <f t="shared" si="11"/>
        <v>22525490.017807454</v>
      </c>
      <c r="O31" s="20" t="s">
        <v>23</v>
      </c>
    </row>
    <row r="32" spans="1:15">
      <c r="A32" s="1"/>
      <c r="B32" s="26" t="s">
        <v>39</v>
      </c>
      <c r="C32" s="27"/>
      <c r="D32" s="27"/>
      <c r="E32" s="32" cm="1">
        <f t="array" ref="E32">_xlfn.IFS(E$9=$C$177,$C$178,OR(E$9=$C$182,E$9&gt;$C$182),$C$183,E$9&lt;$C$177,0)</f>
        <v>0</v>
      </c>
      <c r="F32" s="32" cm="1">
        <f t="array" ref="F32">_xlfn.IFS(F$9=$C$177,$C$178,OR(F$9=$C$182,F$9&gt;$C$182),$C$183,F$9&lt;$C$177,0)</f>
        <v>0</v>
      </c>
      <c r="G32" s="32" cm="1">
        <f t="array" ref="G32">_xlfn.IFS(G$9=$C$177,$C$178,OR(G$9=$C$182,G$9&gt;$C$182),$C$183,G$9&lt;$C$177,0)</f>
        <v>0</v>
      </c>
      <c r="H32" s="32" cm="1">
        <f t="array" ref="H32">_xlfn.IFS(H$9=$C$177,$C$178,OR(H$9=$C$182,H$9&gt;$C$182),$C$183,H$9&lt;$C$177,0)</f>
        <v>0.5</v>
      </c>
      <c r="I32" s="32" cm="1">
        <f t="array" ref="I32">_xlfn.IFS(I$9=$C$177,$C$178,OR(I$9=$C$182,I$9&gt;$C$182),$C$183,I$9&lt;$C$177,0)</f>
        <v>0.95</v>
      </c>
      <c r="J32" s="32" cm="1">
        <f t="array" ref="J32">_xlfn.IFS(J$9=$C$177,$C$178,OR(J$9=$C$182,J$9&gt;$C$182),$C$183,J$9&lt;$C$177,0)</f>
        <v>0.95</v>
      </c>
      <c r="K32" s="32" cm="1">
        <f t="array" ref="K32">_xlfn.IFS(K$9=$C$177,$C$178,OR(K$9=$C$182,K$9&gt;$C$182),$C$183,K$9&lt;$C$177,0)</f>
        <v>0.95</v>
      </c>
      <c r="L32" s="32" cm="1">
        <f t="array" ref="L32">_xlfn.IFS(L$9=$C$177,$C$178,OR(L$9=$C$182,L$9&gt;$C$182),$C$183,L$9&lt;$C$177,0)</f>
        <v>0.95</v>
      </c>
      <c r="M32" s="32" cm="1">
        <f t="array" ref="M32">_xlfn.IFS(M$9=$C$177,$C$178,OR(M$9=$C$182,M$9&gt;$C$182),$C$183,M$9&lt;$C$177,0)</f>
        <v>0.95</v>
      </c>
      <c r="N32" s="32" cm="1">
        <f t="array" ref="N32">_xlfn.IFS(N$9=$C$177,$C$178,OR(N$9=$C$182,N$9&gt;$C$182),$C$183,N$9&lt;$C$177,0)</f>
        <v>0.95</v>
      </c>
      <c r="O32" s="20" t="s">
        <v>23</v>
      </c>
    </row>
    <row r="33" spans="1:15" ht="12" customHeight="1">
      <c r="A33" s="1"/>
      <c r="B33" s="26" t="s">
        <v>40</v>
      </c>
      <c r="C33" s="27">
        <f>SUM(E33:N33)</f>
        <v>-16070582.394306306</v>
      </c>
      <c r="D33" s="27"/>
      <c r="E33" s="28">
        <f>-E31*(1-E32)</f>
        <v>0</v>
      </c>
      <c r="F33" s="28">
        <f t="shared" ref="F33:N33" si="12">-F31*(1-F32)</f>
        <v>0</v>
      </c>
      <c r="G33" s="28">
        <f t="shared" si="12"/>
        <v>0</v>
      </c>
      <c r="H33" s="28">
        <f t="shared" si="12"/>
        <v>-9711829.7232900001</v>
      </c>
      <c r="I33" s="28">
        <f t="shared" si="12"/>
        <v>-995462.5466372259</v>
      </c>
      <c r="J33" s="28">
        <f t="shared" si="12"/>
        <v>-1020349.1103031564</v>
      </c>
      <c r="K33" s="28">
        <f t="shared" si="12"/>
        <v>-1045857.8380607351</v>
      </c>
      <c r="L33" s="28">
        <f t="shared" si="12"/>
        <v>-1072004.2840122536</v>
      </c>
      <c r="M33" s="28">
        <f t="shared" si="12"/>
        <v>-1098804.3911125599</v>
      </c>
      <c r="N33" s="28">
        <f t="shared" si="12"/>
        <v>-1126274.5008903737</v>
      </c>
      <c r="O33" s="20" t="s">
        <v>23</v>
      </c>
    </row>
    <row r="34" spans="1:15" ht="12" customHeight="1">
      <c r="A34" s="1"/>
      <c r="B34" s="26"/>
      <c r="C34" s="27"/>
      <c r="D34" s="27"/>
      <c r="E34" s="28"/>
      <c r="F34" s="28"/>
      <c r="G34" s="28"/>
      <c r="H34" s="28"/>
      <c r="I34" s="28"/>
      <c r="J34" s="28"/>
      <c r="K34" s="28"/>
      <c r="L34" s="28"/>
      <c r="M34" s="28"/>
      <c r="N34" s="28"/>
    </row>
    <row r="35" spans="1:15">
      <c r="A35" s="1"/>
      <c r="B35" s="26" t="s">
        <v>41</v>
      </c>
      <c r="C35" s="27"/>
      <c r="D35" s="27"/>
      <c r="E35" s="28">
        <f>IF(E$9&gt;$C$155-1,$C$168*$C$136*(1+$C$169)^E$10,0)</f>
        <v>0</v>
      </c>
      <c r="F35" s="28">
        <f t="shared" ref="F35:N35" si="13">IF(F$9&gt;$C$155-1,$C$168*$C$136*(1+$C$169)^F$10,0)</f>
        <v>0</v>
      </c>
      <c r="G35" s="28">
        <f t="shared" si="13"/>
        <v>0</v>
      </c>
      <c r="H35" s="28">
        <f t="shared" si="13"/>
        <v>9376258.3710624985</v>
      </c>
      <c r="I35" s="28">
        <f t="shared" si="13"/>
        <v>9610664.8303390611</v>
      </c>
      <c r="J35" s="28">
        <f t="shared" si="13"/>
        <v>9850931.4510975368</v>
      </c>
      <c r="K35" s="28">
        <f t="shared" si="13"/>
        <v>10097204.737374974</v>
      </c>
      <c r="L35" s="28">
        <f t="shared" si="13"/>
        <v>10349634.855809348</v>
      </c>
      <c r="M35" s="28">
        <f t="shared" si="13"/>
        <v>10608375.727204582</v>
      </c>
      <c r="N35" s="28">
        <f t="shared" si="13"/>
        <v>10873585.120384693</v>
      </c>
    </row>
    <row r="36" spans="1:15">
      <c r="A36" s="1"/>
      <c r="B36" s="26" t="s">
        <v>39</v>
      </c>
      <c r="C36" s="27"/>
      <c r="D36" s="27"/>
      <c r="E36" s="32" cm="1">
        <f t="array" ref="E36">_xlfn.IFS(E$9=$C$177,$C$179,OR(E$9=$C$182,E$9&gt;$C$182),$C$183,E$9&lt;$C$177,0)</f>
        <v>0</v>
      </c>
      <c r="F36" s="32" cm="1">
        <f t="array" ref="F36">_xlfn.IFS(F$9=$C$177,$C$179,OR(F$9=$C$182,F$9&gt;$C$182),$C$183,F$9&lt;$C$177,0)</f>
        <v>0</v>
      </c>
      <c r="G36" s="32" cm="1">
        <f t="array" ref="G36">_xlfn.IFS(G$9=$C$177,$C$179,OR(G$9=$C$182,G$9&gt;$C$182),$C$183,G$9&lt;$C$177,0)</f>
        <v>0</v>
      </c>
      <c r="H36" s="32" cm="1">
        <f t="array" ref="H36">_xlfn.IFS(H$9=$C$177,$C$179,OR(H$9=$C$182,H$9&gt;$C$182),$C$183,H$9&lt;$C$177,0)</f>
        <v>0.7</v>
      </c>
      <c r="I36" s="32" cm="1">
        <f t="array" ref="I36">_xlfn.IFS(I$9=$C$177,$C$179,OR(I$9=$C$182,I$9&gt;$C$182),$C$183,I$9&lt;$C$177,0)</f>
        <v>0.95</v>
      </c>
      <c r="J36" s="32" cm="1">
        <f t="array" ref="J36">_xlfn.IFS(J$9=$C$177,$C$179,OR(J$9=$C$182,J$9&gt;$C$182),$C$183,J$9&lt;$C$177,0)</f>
        <v>0.95</v>
      </c>
      <c r="K36" s="32" cm="1">
        <f t="array" ref="K36">_xlfn.IFS(K$9=$C$177,$C$179,OR(K$9=$C$182,K$9&gt;$C$182),$C$183,K$9&lt;$C$177,0)</f>
        <v>0.95</v>
      </c>
      <c r="L36" s="32" cm="1">
        <f t="array" ref="L36">_xlfn.IFS(L$9=$C$177,$C$179,OR(L$9=$C$182,L$9&gt;$C$182),$C$183,L$9&lt;$C$177,0)</f>
        <v>0.95</v>
      </c>
      <c r="M36" s="32" cm="1">
        <f t="array" ref="M36">_xlfn.IFS(M$9=$C$177,$C$179,OR(M$9=$C$182,M$9&gt;$C$182),$C$183,M$9&lt;$C$177,0)</f>
        <v>0.95</v>
      </c>
      <c r="N36" s="32" cm="1">
        <f t="array" ref="N36">_xlfn.IFS(N$9=$C$177,$C$179,OR(N$9=$C$182,N$9&gt;$C$182),$C$183,N$9&lt;$C$177,0)</f>
        <v>0.95</v>
      </c>
    </row>
    <row r="37" spans="1:15">
      <c r="A37" s="1"/>
      <c r="B37" s="26" t="s">
        <v>40</v>
      </c>
      <c r="C37" s="27">
        <f>SUM(E37:N37)</f>
        <v>-5882397.3474292625</v>
      </c>
      <c r="D37" s="27"/>
      <c r="E37" s="28">
        <f>-E35*(1-E36)</f>
        <v>0</v>
      </c>
      <c r="F37" s="28">
        <f t="shared" ref="F37:N37" si="14">-F35*(1-F36)</f>
        <v>0</v>
      </c>
      <c r="G37" s="28">
        <f t="shared" si="14"/>
        <v>0</v>
      </c>
      <c r="H37" s="28">
        <f t="shared" si="14"/>
        <v>-2812877.5113187497</v>
      </c>
      <c r="I37" s="28">
        <f t="shared" si="14"/>
        <v>-480533.24151695351</v>
      </c>
      <c r="J37" s="28">
        <f t="shared" si="14"/>
        <v>-492546.57255487726</v>
      </c>
      <c r="K37" s="28">
        <f t="shared" si="14"/>
        <v>-504860.2368687492</v>
      </c>
      <c r="L37" s="28">
        <f t="shared" si="14"/>
        <v>-517481.74279046786</v>
      </c>
      <c r="M37" s="28">
        <f t="shared" si="14"/>
        <v>-530418.7863602296</v>
      </c>
      <c r="N37" s="28">
        <f t="shared" si="14"/>
        <v>-543679.25601923512</v>
      </c>
      <c r="O37" s="20" t="s">
        <v>23</v>
      </c>
    </row>
    <row r="38" spans="1:15" ht="6.95" customHeight="1">
      <c r="A38" s="1"/>
      <c r="B38" s="26"/>
      <c r="C38" s="27"/>
      <c r="D38" s="27"/>
      <c r="E38" s="32"/>
      <c r="F38" s="32"/>
      <c r="G38" s="32"/>
      <c r="H38" s="32"/>
      <c r="I38" s="32"/>
      <c r="J38" s="32"/>
      <c r="K38" s="32"/>
      <c r="L38" s="32"/>
      <c r="M38" s="32"/>
      <c r="N38" s="32"/>
    </row>
    <row r="39" spans="1:15">
      <c r="A39" s="1"/>
      <c r="B39" s="26" t="s">
        <v>42</v>
      </c>
      <c r="C39" s="27"/>
      <c r="D39" s="27"/>
      <c r="E39" s="28">
        <f>IF(E$9&gt;$C$155-1,$C$171*$C$138*(1+$C$172)^E$10,0)</f>
        <v>0</v>
      </c>
      <c r="F39" s="28">
        <f t="shared" ref="F39:N39" si="15">IF(F$9&gt;$C$155-1,$C$171*$C$138*(1+$C$172)^F$10,0)</f>
        <v>0</v>
      </c>
      <c r="G39" s="28">
        <f t="shared" si="15"/>
        <v>0</v>
      </c>
      <c r="H39" s="28">
        <f t="shared" si="15"/>
        <v>7106216.8706999999</v>
      </c>
      <c r="I39" s="28">
        <f t="shared" si="15"/>
        <v>7283872.2924674992</v>
      </c>
      <c r="J39" s="28">
        <f t="shared" si="15"/>
        <v>7465969.0997791858</v>
      </c>
      <c r="K39" s="28">
        <f t="shared" si="15"/>
        <v>7652618.327273665</v>
      </c>
      <c r="L39" s="28">
        <f t="shared" si="15"/>
        <v>7843933.7854555072</v>
      </c>
      <c r="M39" s="28">
        <f t="shared" si="15"/>
        <v>8040032.1300918944</v>
      </c>
      <c r="N39" s="28">
        <f t="shared" si="15"/>
        <v>8241032.93334419</v>
      </c>
    </row>
    <row r="40" spans="1:15">
      <c r="A40" s="1"/>
      <c r="B40" s="26" t="s">
        <v>39</v>
      </c>
      <c r="C40" s="27"/>
      <c r="D40" s="27"/>
      <c r="E40" s="32" cm="1">
        <f t="array" ref="E40">_xlfn.IFS(E$9=$C$177,$C$180,OR(E$9=$C$182,E$9&gt;$C$182),$C$183,E$9&lt;$C$177,0)</f>
        <v>0</v>
      </c>
      <c r="F40" s="32" cm="1">
        <f t="array" ref="F40">_xlfn.IFS(F$9=$C$177,$C$180,OR(F$9=$C$182,F$9&gt;$C$182),$C$183,F$9&lt;$C$177,0)</f>
        <v>0</v>
      </c>
      <c r="G40" s="32" cm="1">
        <f t="array" ref="G40">_xlfn.IFS(G$9=$C$177,$C$180,OR(G$9=$C$182,G$9&gt;$C$182),$C$183,G$9&lt;$C$177,0)</f>
        <v>0</v>
      </c>
      <c r="H40" s="32" cm="1">
        <f t="array" ref="H40">_xlfn.IFS(H$9=$C$177,$C$180,OR(H$9=$C$182,H$9&gt;$C$182),$C$183,H$9&lt;$C$177,0)</f>
        <v>0.7</v>
      </c>
      <c r="I40" s="32" cm="1">
        <f t="array" ref="I40">_xlfn.IFS(I$9=$C$177,$C$180,OR(I$9=$C$182,I$9&gt;$C$182),$C$183,I$9&lt;$C$177,0)</f>
        <v>0.95</v>
      </c>
      <c r="J40" s="32" cm="1">
        <f t="array" ref="J40">_xlfn.IFS(J$9=$C$177,$C$180,OR(J$9=$C$182,J$9&gt;$C$182),$C$183,J$9&lt;$C$177,0)</f>
        <v>0.95</v>
      </c>
      <c r="K40" s="32" cm="1">
        <f t="array" ref="K40">_xlfn.IFS(K$9=$C$177,$C$180,OR(K$9=$C$182,K$9&gt;$C$182),$C$183,K$9&lt;$C$177,0)</f>
        <v>0.95</v>
      </c>
      <c r="L40" s="32" cm="1">
        <f t="array" ref="L40">_xlfn.IFS(L$9=$C$177,$C$180,OR(L$9=$C$182,L$9&gt;$C$182),$C$183,L$9&lt;$C$177,0)</f>
        <v>0.95</v>
      </c>
      <c r="M40" s="32" cm="1">
        <f t="array" ref="M40">_xlfn.IFS(M$9=$C$177,$C$180,OR(M$9=$C$182,M$9&gt;$C$182),$C$183,M$9&lt;$C$177,0)</f>
        <v>0.95</v>
      </c>
      <c r="N40" s="32" cm="1">
        <f t="array" ref="N40">_xlfn.IFS(N$9=$C$177,$C$180,OR(N$9=$C$182,N$9&gt;$C$182),$C$183,N$9&lt;$C$177,0)</f>
        <v>0.95</v>
      </c>
    </row>
    <row r="41" spans="1:15">
      <c r="A41" s="1"/>
      <c r="B41" s="26" t="s">
        <v>40</v>
      </c>
      <c r="C41" s="27">
        <f>SUM(E41:N41)</f>
        <v>-4458237.9896305995</v>
      </c>
      <c r="D41" s="27"/>
      <c r="E41" s="28">
        <f>-E39*(1-E40)</f>
        <v>0</v>
      </c>
      <c r="F41" s="28">
        <f t="shared" ref="F41:N41" si="16">-F39*(1-F40)</f>
        <v>0</v>
      </c>
      <c r="G41" s="28">
        <f t="shared" si="16"/>
        <v>0</v>
      </c>
      <c r="H41" s="28">
        <f t="shared" si="16"/>
        <v>-2131865.0612100004</v>
      </c>
      <c r="I41" s="28">
        <f t="shared" si="16"/>
        <v>-364193.6146233753</v>
      </c>
      <c r="J41" s="28">
        <f t="shared" si="16"/>
        <v>-373298.45498895959</v>
      </c>
      <c r="K41" s="28">
        <f t="shared" si="16"/>
        <v>-382630.91636368359</v>
      </c>
      <c r="L41" s="28">
        <f t="shared" si="16"/>
        <v>-392196.68927277572</v>
      </c>
      <c r="M41" s="28">
        <f t="shared" si="16"/>
        <v>-402001.60650459508</v>
      </c>
      <c r="N41" s="28">
        <f t="shared" si="16"/>
        <v>-412051.64666720986</v>
      </c>
      <c r="O41" s="20" t="s">
        <v>23</v>
      </c>
    </row>
    <row r="42" spans="1:15" ht="8.1" customHeight="1">
      <c r="A42" s="1"/>
      <c r="B42" s="26"/>
      <c r="C42" s="27"/>
      <c r="D42" s="27"/>
      <c r="E42" s="32"/>
      <c r="F42" s="32"/>
      <c r="G42" s="32"/>
      <c r="H42" s="32"/>
      <c r="I42" s="32"/>
      <c r="J42" s="32"/>
      <c r="K42" s="32"/>
      <c r="L42" s="32"/>
      <c r="M42" s="32"/>
      <c r="N42" s="32"/>
    </row>
    <row r="43" spans="1:15">
      <c r="A43" s="1"/>
      <c r="B43" s="26" t="s">
        <v>43</v>
      </c>
      <c r="C43" s="27"/>
      <c r="D43" s="27"/>
      <c r="E43" s="28">
        <f>IF(E$9&gt;$C$155-1,($C$223*$C$207)*(1+$C$175)^E$10,0)</f>
        <v>0</v>
      </c>
      <c r="F43" s="28">
        <f t="shared" ref="F43:N43" si="17">IF(F$9&gt;$C$155-1,($C$223*$C$207)*(1+$C$175)^F$10,0)</f>
        <v>0</v>
      </c>
      <c r="G43" s="28">
        <f t="shared" si="17"/>
        <v>0</v>
      </c>
      <c r="H43" s="28">
        <f t="shared" si="17"/>
        <v>177552.34179687497</v>
      </c>
      <c r="I43" s="28">
        <f t="shared" si="17"/>
        <v>181991.15034179683</v>
      </c>
      <c r="J43" s="28">
        <f t="shared" si="17"/>
        <v>186540.92910034175</v>
      </c>
      <c r="K43" s="28">
        <f t="shared" si="17"/>
        <v>191204.45232785027</v>
      </c>
      <c r="L43" s="28">
        <f t="shared" si="17"/>
        <v>195984.56363604654</v>
      </c>
      <c r="M43" s="28">
        <f t="shared" si="17"/>
        <v>200884.17772694767</v>
      </c>
      <c r="N43" s="28">
        <f t="shared" si="17"/>
        <v>205906.28217012133</v>
      </c>
    </row>
    <row r="44" spans="1:15">
      <c r="A44" s="1"/>
      <c r="B44" s="26" t="s">
        <v>39</v>
      </c>
      <c r="C44" s="27"/>
      <c r="D44" s="27"/>
      <c r="E44" s="32" cm="1">
        <f t="array" ref="E44">_xlfn.IFS(E$9=$C$177,$C$181,OR(E$9=$C$182,E$9&gt;$C$182),$C$224,E$9&lt;$C$177,0)</f>
        <v>0</v>
      </c>
      <c r="F44" s="32" cm="1">
        <f t="array" ref="F44">_xlfn.IFS(F$9=$C$177,$C$181,OR(F$9=$C$182,F$9&gt;$C$182),$C$224,F$9&lt;$C$177,0)</f>
        <v>0</v>
      </c>
      <c r="G44" s="32" cm="1">
        <f t="array" ref="G44">_xlfn.IFS(G$9=$C$177,$C$181,OR(G$9=$C$182,G$9&gt;$C$182),$C$224,G$9&lt;$C$177,0)</f>
        <v>0</v>
      </c>
      <c r="H44" s="32" cm="1">
        <f t="array" ref="H44">_xlfn.IFS(H$9=$C$177,$C$181,OR(H$9=$C$182,H$9&gt;$C$182),$C$224,H$9&lt;$C$177,0)</f>
        <v>0.5</v>
      </c>
      <c r="I44" s="32" cm="1">
        <f t="array" ref="I44">_xlfn.IFS(I$9=$C$177,$C$181,OR(I$9=$C$182,I$9&gt;$C$182),$C$224,I$9&lt;$C$177,0)</f>
        <v>0.95</v>
      </c>
      <c r="J44" s="32" cm="1">
        <f t="array" ref="J44">_xlfn.IFS(J$9=$C$177,$C$181,OR(J$9=$C$182,J$9&gt;$C$182),$C$224,J$9&lt;$C$177,0)</f>
        <v>0.95</v>
      </c>
      <c r="K44" s="32" cm="1">
        <f t="array" ref="K44">_xlfn.IFS(K$9=$C$177,$C$181,OR(K$9=$C$182,K$9&gt;$C$182),$C$224,K$9&lt;$C$177,0)</f>
        <v>0.95</v>
      </c>
      <c r="L44" s="32" cm="1">
        <f t="array" ref="L44">_xlfn.IFS(L$9=$C$177,$C$181,OR(L$9=$C$182,L$9&gt;$C$182),$C$224,L$9&lt;$C$177,0)</f>
        <v>0.95</v>
      </c>
      <c r="M44" s="32" cm="1">
        <f t="array" ref="M44">_xlfn.IFS(M$9=$C$177,$C$181,OR(M$9=$C$182,M$9&gt;$C$182),$C$224,M$9&lt;$C$177,0)</f>
        <v>0.95</v>
      </c>
      <c r="N44" s="32" cm="1">
        <f t="array" ref="N44">_xlfn.IFS(N$9=$C$177,$C$181,OR(N$9=$C$182,N$9&gt;$C$182),$C$224,N$9&lt;$C$177,0)</f>
        <v>0.95</v>
      </c>
    </row>
    <row r="45" spans="1:15">
      <c r="A45" s="1"/>
      <c r="B45" s="26" t="s">
        <v>40</v>
      </c>
      <c r="C45" s="27">
        <f>SUM(E45:N45)</f>
        <v>-146901.74866359276</v>
      </c>
      <c r="D45" s="27"/>
      <c r="E45" s="28">
        <f>-E43*(1-E44)</f>
        <v>0</v>
      </c>
      <c r="F45" s="28">
        <f t="shared" ref="F45:N45" si="18">-F43*(1-F44)</f>
        <v>0</v>
      </c>
      <c r="G45" s="28">
        <f t="shared" si="18"/>
        <v>0</v>
      </c>
      <c r="H45" s="28">
        <f t="shared" si="18"/>
        <v>-88776.170898437485</v>
      </c>
      <c r="I45" s="28">
        <f t="shared" si="18"/>
        <v>-9099.5575170898501</v>
      </c>
      <c r="J45" s="28">
        <f t="shared" si="18"/>
        <v>-9327.0464550170964</v>
      </c>
      <c r="K45" s="28">
        <f t="shared" si="18"/>
        <v>-9560.2226163925225</v>
      </c>
      <c r="L45" s="28">
        <f t="shared" si="18"/>
        <v>-9799.2281818023366</v>
      </c>
      <c r="M45" s="28">
        <f t="shared" si="18"/>
        <v>-10044.208886347393</v>
      </c>
      <c r="N45" s="28">
        <f t="shared" si="18"/>
        <v>-10295.314108506076</v>
      </c>
      <c r="O45" s="20" t="s">
        <v>23</v>
      </c>
    </row>
    <row r="46" spans="1:15" s="1" customFormat="1" ht="6.95">
      <c r="O46" s="1" t="s">
        <v>23</v>
      </c>
    </row>
    <row r="47" spans="1:15" s="1" customFormat="1" ht="15" customHeight="1">
      <c r="B47" s="26" t="s">
        <v>44</v>
      </c>
      <c r="C47" s="27">
        <f t="shared" ref="C47:C55" si="19">SUM(E47:N47)</f>
        <v>-24433118.811150994</v>
      </c>
      <c r="D47" s="27"/>
      <c r="E47" s="28">
        <f>-IF(E$9&gt;$C$155-1,$C$187*$C$132*(1+$C$185)^E$10,0)</f>
        <v>0</v>
      </c>
      <c r="F47" s="28">
        <f t="shared" ref="F47:N47" si="20">-IF(F$9&gt;$C$155-1,$C$187*$C$132*(1+$C$185)^F$10,0)</f>
        <v>0</v>
      </c>
      <c r="G47" s="28">
        <f t="shared" si="20"/>
        <v>0</v>
      </c>
      <c r="H47" s="28">
        <f t="shared" si="20"/>
        <v>-3237276.5744299996</v>
      </c>
      <c r="I47" s="28">
        <f t="shared" si="20"/>
        <v>-3318208.4887907496</v>
      </c>
      <c r="J47" s="28">
        <f t="shared" si="20"/>
        <v>-3401163.7010105178</v>
      </c>
      <c r="K47" s="28">
        <f t="shared" si="20"/>
        <v>-3486192.7935357806</v>
      </c>
      <c r="L47" s="28">
        <f t="shared" si="20"/>
        <v>-3573347.613374175</v>
      </c>
      <c r="M47" s="28">
        <f t="shared" si="20"/>
        <v>-3662681.3037085291</v>
      </c>
      <c r="N47" s="28">
        <f t="shared" si="20"/>
        <v>-3754248.336301242</v>
      </c>
      <c r="O47" s="20" t="s">
        <v>23</v>
      </c>
    </row>
    <row r="48" spans="1:15" s="1" customFormat="1" ht="15" customHeight="1">
      <c r="B48" s="26" t="s">
        <v>45</v>
      </c>
      <c r="C48" s="27">
        <f t="shared" si="19"/>
        <v>-31763054.454496294</v>
      </c>
      <c r="D48" s="27"/>
      <c r="E48" s="28">
        <f>-IF(E$9&gt;$C$155-1,$C$188*$C$132*(1+$C$185)^E$10,0)</f>
        <v>0</v>
      </c>
      <c r="F48" s="28">
        <f t="shared" ref="F48:N48" si="21">-IF(F$9&gt;$C$155-1,$C$188*$C$132*(1+$C$185)^F$10,0)</f>
        <v>0</v>
      </c>
      <c r="G48" s="28">
        <f t="shared" si="21"/>
        <v>0</v>
      </c>
      <c r="H48" s="28">
        <f t="shared" si="21"/>
        <v>-4208459.546759</v>
      </c>
      <c r="I48" s="28">
        <f t="shared" si="21"/>
        <v>-4313671.0354279745</v>
      </c>
      <c r="J48" s="28">
        <f t="shared" si="21"/>
        <v>-4421512.8113136739</v>
      </c>
      <c r="K48" s="28">
        <f t="shared" si="21"/>
        <v>-4532050.631596515</v>
      </c>
      <c r="L48" s="28">
        <f t="shared" si="21"/>
        <v>-4645351.897386428</v>
      </c>
      <c r="M48" s="28">
        <f t="shared" si="21"/>
        <v>-4761485.6948210886</v>
      </c>
      <c r="N48" s="28">
        <f t="shared" si="21"/>
        <v>-4880522.8371916143</v>
      </c>
      <c r="O48" s="20" t="s">
        <v>23</v>
      </c>
    </row>
    <row r="49" spans="1:15" s="1" customFormat="1" ht="15" customHeight="1">
      <c r="B49" s="26" t="s">
        <v>44</v>
      </c>
      <c r="C49" s="27">
        <f t="shared" si="19"/>
        <v>-7076665.5093272701</v>
      </c>
      <c r="D49" s="27"/>
      <c r="E49" s="28">
        <f>-IF(E$9&gt;$C$155-1,$C$189*$C$136*(1+$C$185)^E$10,0)</f>
        <v>0</v>
      </c>
      <c r="F49" s="28">
        <f t="shared" ref="F49:N49" si="22">-IF(F$9&gt;$C$155-1,$C$189*$C$136*(1+$C$185)^F$10,0)</f>
        <v>0</v>
      </c>
      <c r="G49" s="28">
        <f t="shared" si="22"/>
        <v>0</v>
      </c>
      <c r="H49" s="28">
        <f t="shared" si="22"/>
        <v>-937625.83710624999</v>
      </c>
      <c r="I49" s="28">
        <f t="shared" si="22"/>
        <v>-961066.48303390609</v>
      </c>
      <c r="J49" s="28">
        <f t="shared" si="22"/>
        <v>-985093.14510975371</v>
      </c>
      <c r="K49" s="28">
        <f t="shared" si="22"/>
        <v>-1009720.4737374975</v>
      </c>
      <c r="L49" s="28">
        <f t="shared" si="22"/>
        <v>-1034963.4855809349</v>
      </c>
      <c r="M49" s="28">
        <f t="shared" si="22"/>
        <v>-1060837.5727204583</v>
      </c>
      <c r="N49" s="28">
        <f t="shared" si="22"/>
        <v>-1087358.5120384695</v>
      </c>
      <c r="O49" s="20" t="s">
        <v>23</v>
      </c>
    </row>
    <row r="50" spans="1:15" s="1" customFormat="1" ht="15" customHeight="1">
      <c r="B50" s="26" t="s">
        <v>45</v>
      </c>
      <c r="C50" s="27">
        <f t="shared" si="19"/>
        <v>-11322664.814923631</v>
      </c>
      <c r="D50" s="27"/>
      <c r="E50" s="28">
        <f>-IF(E$9&gt;$C$155-1,$C$190*$C$136*(1+$C$185)^E$10,0)</f>
        <v>0</v>
      </c>
      <c r="F50" s="28">
        <f t="shared" ref="F50:N50" si="23">-IF(F$9&gt;$C$155-1,$C$190*$C$136*(1+$C$185)^F$10,0)</f>
        <v>0</v>
      </c>
      <c r="G50" s="28">
        <f t="shared" si="23"/>
        <v>0</v>
      </c>
      <c r="H50" s="28">
        <f t="shared" si="23"/>
        <v>-1500201.3393699999</v>
      </c>
      <c r="I50" s="28">
        <f t="shared" si="23"/>
        <v>-1537706.3728542498</v>
      </c>
      <c r="J50" s="28">
        <f t="shared" si="23"/>
        <v>-1576149.0321756059</v>
      </c>
      <c r="K50" s="28">
        <f t="shared" si="23"/>
        <v>-1615552.7579799958</v>
      </c>
      <c r="L50" s="28">
        <f t="shared" si="23"/>
        <v>-1655941.5769294959</v>
      </c>
      <c r="M50" s="28">
        <f t="shared" si="23"/>
        <v>-1697340.116352733</v>
      </c>
      <c r="N50" s="28">
        <f t="shared" si="23"/>
        <v>-1739773.6192615512</v>
      </c>
      <c r="O50" s="20" t="s">
        <v>23</v>
      </c>
    </row>
    <row r="51" spans="1:15" ht="15" customHeight="1">
      <c r="A51" s="1"/>
      <c r="B51" s="26" t="s">
        <v>44</v>
      </c>
      <c r="C51" s="27">
        <f t="shared" si="19"/>
        <v>0</v>
      </c>
      <c r="D51" s="27"/>
      <c r="E51" s="28">
        <f>-IF(E$9&gt;$C$155-1,$C$191*$C$138*(1+$C$185)^E$10,0)</f>
        <v>0</v>
      </c>
      <c r="F51" s="28">
        <f t="shared" ref="F51:N51" si="24">-IF(F$9&gt;$C$155-1,$C$191*$C$138*(1+$C$185)^F$10,0)</f>
        <v>0</v>
      </c>
      <c r="G51" s="28">
        <f t="shared" si="24"/>
        <v>0</v>
      </c>
      <c r="H51" s="28">
        <f t="shared" si="24"/>
        <v>0</v>
      </c>
      <c r="I51" s="28">
        <f t="shared" si="24"/>
        <v>0</v>
      </c>
      <c r="J51" s="28">
        <f t="shared" si="24"/>
        <v>0</v>
      </c>
      <c r="K51" s="28">
        <f t="shared" si="24"/>
        <v>0</v>
      </c>
      <c r="L51" s="28">
        <f t="shared" si="24"/>
        <v>0</v>
      </c>
      <c r="M51" s="28">
        <f t="shared" si="24"/>
        <v>0</v>
      </c>
      <c r="N51" s="28">
        <f t="shared" si="24"/>
        <v>0</v>
      </c>
      <c r="O51" s="20" t="s">
        <v>23</v>
      </c>
    </row>
    <row r="52" spans="1:15">
      <c r="B52" s="26" t="s">
        <v>45</v>
      </c>
      <c r="C52" s="27">
        <f t="shared" si="19"/>
        <v>0</v>
      </c>
      <c r="D52" s="27"/>
      <c r="E52" s="28">
        <f>-IF(E$9&gt;$C$155-1,$C$192*$C$138*(1+$C$185)^E$10,0)</f>
        <v>0</v>
      </c>
      <c r="F52" s="28">
        <f t="shared" ref="F52:N52" si="25">-IF(F$9&gt;$C$155-1,$C$192*$C$138*(1+$C$185)^F$10,0)</f>
        <v>0</v>
      </c>
      <c r="G52" s="28">
        <f t="shared" si="25"/>
        <v>0</v>
      </c>
      <c r="H52" s="28">
        <f t="shared" si="25"/>
        <v>0</v>
      </c>
      <c r="I52" s="28">
        <f t="shared" si="25"/>
        <v>0</v>
      </c>
      <c r="J52" s="28">
        <f t="shared" si="25"/>
        <v>0</v>
      </c>
      <c r="K52" s="28">
        <f t="shared" si="25"/>
        <v>0</v>
      </c>
      <c r="L52" s="28">
        <f t="shared" si="25"/>
        <v>0</v>
      </c>
      <c r="M52" s="28">
        <f t="shared" si="25"/>
        <v>0</v>
      </c>
      <c r="N52" s="28">
        <f t="shared" si="25"/>
        <v>0</v>
      </c>
      <c r="O52" s="20" t="s">
        <v>23</v>
      </c>
    </row>
    <row r="53" spans="1:15">
      <c r="B53" s="33" t="str">
        <f>"Total "&amp;B30</f>
        <v>Total Net Operating Income (NOI - show through Year 9)</v>
      </c>
      <c r="C53" s="34">
        <f>SUM(E53:N53)</f>
        <v>206027274.18033969</v>
      </c>
      <c r="D53" s="34"/>
      <c r="E53" s="35">
        <f>IF(E$9&lt;=($C$194+1), SUM(E31,E33,E35,E37,E39,E41,E43,E45,E51,E52),0)</f>
        <v>0</v>
      </c>
      <c r="F53" s="35">
        <f t="shared" ref="F53:N53" si="26">IF(F$9&lt;=($C$194+1), SUM(F31,F33,F35,F37,F39,F41,F43,F45,F51,F52),0)</f>
        <v>0</v>
      </c>
      <c r="G53" s="35">
        <f t="shared" si="26"/>
        <v>0</v>
      </c>
      <c r="H53" s="35">
        <f t="shared" si="26"/>
        <v>21338338.563422188</v>
      </c>
      <c r="I53" s="35">
        <f t="shared" si="26"/>
        <v>35136490.245598204</v>
      </c>
      <c r="J53" s="35">
        <f t="shared" si="26"/>
        <v>36014902.501738168</v>
      </c>
      <c r="K53" s="35">
        <f t="shared" si="26"/>
        <v>36915275.064281605</v>
      </c>
      <c r="L53" s="35">
        <f t="shared" si="26"/>
        <v>37838156.940888658</v>
      </c>
      <c r="M53" s="35">
        <f t="shared" si="26"/>
        <v>38784110.86441087</v>
      </c>
      <c r="N53" s="35">
        <f t="shared" si="26"/>
        <v>0</v>
      </c>
      <c r="O53" s="20" t="s">
        <v>23</v>
      </c>
    </row>
    <row r="54" spans="1:15" s="25" customFormat="1">
      <c r="A54" s="20"/>
      <c r="B54" s="36" t="s">
        <v>46</v>
      </c>
      <c r="C54" s="37">
        <f t="shared" si="19"/>
        <v>167243163.31592882</v>
      </c>
      <c r="D54" s="37"/>
      <c r="E54" s="38">
        <f t="shared" ref="E54:N54" si="27">IF(E$9&lt;=$C$194,E53,0)</f>
        <v>0</v>
      </c>
      <c r="F54" s="38">
        <f t="shared" si="27"/>
        <v>0</v>
      </c>
      <c r="G54" s="38">
        <f t="shared" si="27"/>
        <v>0</v>
      </c>
      <c r="H54" s="38">
        <f t="shared" si="27"/>
        <v>21338338.563422188</v>
      </c>
      <c r="I54" s="38">
        <f t="shared" si="27"/>
        <v>35136490.245598204</v>
      </c>
      <c r="J54" s="38">
        <f t="shared" si="27"/>
        <v>36014902.501738168</v>
      </c>
      <c r="K54" s="38">
        <f t="shared" si="27"/>
        <v>36915275.064281605</v>
      </c>
      <c r="L54" s="38">
        <f t="shared" si="27"/>
        <v>37838156.940888658</v>
      </c>
      <c r="M54" s="38">
        <f t="shared" si="27"/>
        <v>0</v>
      </c>
      <c r="N54" s="38">
        <f t="shared" si="27"/>
        <v>0</v>
      </c>
      <c r="O54" s="20" t="s">
        <v>23</v>
      </c>
    </row>
    <row r="55" spans="1:15" s="39" customFormat="1">
      <c r="B55" s="40" t="s">
        <v>47</v>
      </c>
      <c r="C55" s="41">
        <f t="shared" si="19"/>
        <v>35136490.245598204</v>
      </c>
      <c r="D55" s="41"/>
      <c r="E55" s="41" t="b">
        <f t="shared" ref="E55:N55" si="28">IF(E$9=$C$182,E54)</f>
        <v>0</v>
      </c>
      <c r="F55" s="41" t="b">
        <f t="shared" si="28"/>
        <v>0</v>
      </c>
      <c r="G55" s="41" t="b">
        <f t="shared" si="28"/>
        <v>0</v>
      </c>
      <c r="H55" s="41" t="b">
        <f t="shared" si="28"/>
        <v>0</v>
      </c>
      <c r="I55" s="41">
        <f t="shared" si="28"/>
        <v>35136490.245598204</v>
      </c>
      <c r="J55" s="41" t="b">
        <f t="shared" si="28"/>
        <v>0</v>
      </c>
      <c r="K55" s="41" t="b">
        <f t="shared" si="28"/>
        <v>0</v>
      </c>
      <c r="L55" s="41" t="b">
        <f t="shared" si="28"/>
        <v>0</v>
      </c>
      <c r="M55" s="41" t="b">
        <f t="shared" si="28"/>
        <v>0</v>
      </c>
      <c r="N55" s="41" t="b">
        <f t="shared" si="28"/>
        <v>0</v>
      </c>
      <c r="O55" s="39" t="s">
        <v>23</v>
      </c>
    </row>
    <row r="56" spans="1:15" s="1" customFormat="1" ht="6.95">
      <c r="O56" s="1" t="s">
        <v>23</v>
      </c>
    </row>
    <row r="57" spans="1:15">
      <c r="B57" s="25" t="s">
        <v>48</v>
      </c>
      <c r="C57" s="25"/>
      <c r="D57" s="25"/>
      <c r="O57" s="20" t="s">
        <v>23</v>
      </c>
    </row>
    <row r="58" spans="1:15">
      <c r="B58" s="26" t="s">
        <v>49</v>
      </c>
      <c r="C58" s="27">
        <f t="shared" ref="C58:C61" si="29">SUM(E58:N58)</f>
        <v>-18752516.742124997</v>
      </c>
      <c r="D58" s="27"/>
      <c r="E58" s="28">
        <f>-IF(E$9=$C$177,$C$157*$C$136*(1+$C$185)^E$10,0)</f>
        <v>0</v>
      </c>
      <c r="F58" s="28">
        <f t="shared" ref="F58:N58" si="30">-IF(F$9=$C$177,$C$157*$C$136*(1+$C$185)^F$10,0)</f>
        <v>0</v>
      </c>
      <c r="G58" s="28">
        <f t="shared" si="30"/>
        <v>0</v>
      </c>
      <c r="H58" s="28">
        <f t="shared" si="30"/>
        <v>-18752516.742124997</v>
      </c>
      <c r="I58" s="28">
        <f t="shared" si="30"/>
        <v>0</v>
      </c>
      <c r="J58" s="28">
        <f t="shared" si="30"/>
        <v>0</v>
      </c>
      <c r="K58" s="28">
        <f t="shared" si="30"/>
        <v>0</v>
      </c>
      <c r="L58" s="28">
        <f t="shared" si="30"/>
        <v>0</v>
      </c>
      <c r="M58" s="28">
        <f t="shared" si="30"/>
        <v>0</v>
      </c>
      <c r="N58" s="28">
        <f t="shared" si="30"/>
        <v>0</v>
      </c>
      <c r="O58" s="20" t="s">
        <v>23</v>
      </c>
    </row>
    <row r="59" spans="1:15">
      <c r="B59" s="26" t="s">
        <v>50</v>
      </c>
      <c r="C59" s="27">
        <f t="shared" si="29"/>
        <v>-5625755.0226375004</v>
      </c>
      <c r="D59" s="27"/>
      <c r="E59" s="28">
        <f>-IF(E$9=$C$177,$C$158*$C$136*(1+$C$185)^E$10,0)</f>
        <v>0</v>
      </c>
      <c r="F59" s="28">
        <f t="shared" ref="F59:N59" si="31">-IF(F$9=$C$177,$C$158*$C$136*(1+$C$185)^F$10,0)</f>
        <v>0</v>
      </c>
      <c r="G59" s="28">
        <f t="shared" si="31"/>
        <v>0</v>
      </c>
      <c r="H59" s="28">
        <f t="shared" si="31"/>
        <v>-5625755.0226375004</v>
      </c>
      <c r="I59" s="28">
        <f t="shared" si="31"/>
        <v>0</v>
      </c>
      <c r="J59" s="28">
        <f t="shared" si="31"/>
        <v>0</v>
      </c>
      <c r="K59" s="28">
        <f t="shared" si="31"/>
        <v>0</v>
      </c>
      <c r="L59" s="28">
        <f t="shared" si="31"/>
        <v>0</v>
      </c>
      <c r="M59" s="28">
        <f t="shared" si="31"/>
        <v>0</v>
      </c>
      <c r="N59" s="28">
        <f t="shared" si="31"/>
        <v>0</v>
      </c>
      <c r="O59" s="20" t="s">
        <v>23</v>
      </c>
    </row>
    <row r="60" spans="1:15">
      <c r="A60" s="1"/>
      <c r="B60" s="26" t="s">
        <v>51</v>
      </c>
      <c r="C60" s="27">
        <f t="shared" si="29"/>
        <v>-14212433.7414</v>
      </c>
      <c r="D60" s="27"/>
      <c r="E60" s="28">
        <f>-IF(E$9=$C$177,$C$159*$C$138*(1+$C$185)^E$10,0)</f>
        <v>0</v>
      </c>
      <c r="F60" s="28">
        <f t="shared" ref="F60:N60" si="32">-IF(F$9=$C$177,$C$159*$C$138*(1+$C$185)^F$10,0)</f>
        <v>0</v>
      </c>
      <c r="G60" s="28">
        <f t="shared" si="32"/>
        <v>0</v>
      </c>
      <c r="H60" s="28">
        <f t="shared" si="32"/>
        <v>-14212433.7414</v>
      </c>
      <c r="I60" s="28">
        <f t="shared" si="32"/>
        <v>0</v>
      </c>
      <c r="J60" s="28">
        <f t="shared" si="32"/>
        <v>0</v>
      </c>
      <c r="K60" s="28">
        <f t="shared" si="32"/>
        <v>0</v>
      </c>
      <c r="L60" s="28">
        <f t="shared" si="32"/>
        <v>0</v>
      </c>
      <c r="M60" s="28">
        <f t="shared" si="32"/>
        <v>0</v>
      </c>
      <c r="N60" s="28">
        <f t="shared" si="32"/>
        <v>0</v>
      </c>
      <c r="O60" s="20" t="s">
        <v>23</v>
      </c>
    </row>
    <row r="61" spans="1:15">
      <c r="A61" s="1"/>
      <c r="B61" s="26" t="s">
        <v>52</v>
      </c>
      <c r="C61" s="27">
        <f t="shared" si="29"/>
        <v>-5329662.6530250004</v>
      </c>
      <c r="D61" s="27"/>
      <c r="E61" s="28">
        <f>-IF(E$9=$C$177,$C$160*$C$138*(1+$C$185)^E$10,0)</f>
        <v>0</v>
      </c>
      <c r="F61" s="28">
        <f t="shared" ref="F61:N61" si="33">-IF(F$9=$C$177,$C$160*$C$138*(1+$C$185)^F$10,0)</f>
        <v>0</v>
      </c>
      <c r="G61" s="28">
        <f t="shared" si="33"/>
        <v>0</v>
      </c>
      <c r="H61" s="28">
        <f t="shared" si="33"/>
        <v>-5329662.6530250004</v>
      </c>
      <c r="I61" s="28">
        <f t="shared" si="33"/>
        <v>0</v>
      </c>
      <c r="J61" s="28">
        <f t="shared" si="33"/>
        <v>0</v>
      </c>
      <c r="K61" s="28">
        <f t="shared" si="33"/>
        <v>0</v>
      </c>
      <c r="L61" s="28">
        <f t="shared" si="33"/>
        <v>0</v>
      </c>
      <c r="M61" s="28">
        <f t="shared" si="33"/>
        <v>0</v>
      </c>
      <c r="N61" s="28">
        <f t="shared" si="33"/>
        <v>0</v>
      </c>
      <c r="O61" s="20" t="s">
        <v>23</v>
      </c>
    </row>
    <row r="62" spans="1:15" s="25" customFormat="1">
      <c r="A62" s="20"/>
      <c r="B62" s="29" t="str">
        <f>"Total "&amp;B57</f>
        <v>Total Tenant Improvements and Leasing Commissions</v>
      </c>
      <c r="C62" s="30">
        <f>SUM(E62:N62)</f>
        <v>-19542096.394425001</v>
      </c>
      <c r="D62" s="30"/>
      <c r="E62" s="42">
        <f>SUM(E60:E61)</f>
        <v>0</v>
      </c>
      <c r="F62" s="42">
        <f t="shared" ref="F62:N62" si="34">SUM(F60:F61)</f>
        <v>0</v>
      </c>
      <c r="G62" s="42">
        <f t="shared" si="34"/>
        <v>0</v>
      </c>
      <c r="H62" s="42">
        <f t="shared" si="34"/>
        <v>-19542096.394425001</v>
      </c>
      <c r="I62" s="42">
        <f t="shared" si="34"/>
        <v>0</v>
      </c>
      <c r="J62" s="42">
        <f t="shared" si="34"/>
        <v>0</v>
      </c>
      <c r="K62" s="42">
        <f t="shared" si="34"/>
        <v>0</v>
      </c>
      <c r="L62" s="42">
        <f t="shared" si="34"/>
        <v>0</v>
      </c>
      <c r="M62" s="42">
        <f t="shared" si="34"/>
        <v>0</v>
      </c>
      <c r="N62" s="42">
        <f t="shared" si="34"/>
        <v>0</v>
      </c>
      <c r="O62" s="20" t="s">
        <v>23</v>
      </c>
    </row>
    <row r="63" spans="1:15" s="1" customFormat="1" ht="6.95">
      <c r="O63" s="1" t="s">
        <v>23</v>
      </c>
    </row>
    <row r="64" spans="1:15">
      <c r="A64" s="1"/>
      <c r="B64" s="25" t="s">
        <v>53</v>
      </c>
      <c r="C64" s="25"/>
      <c r="D64" s="25"/>
      <c r="O64" s="20" t="s">
        <v>23</v>
      </c>
    </row>
    <row r="65" spans="1:15">
      <c r="B65" s="26" t="s">
        <v>54</v>
      </c>
      <c r="C65" s="27">
        <f>SUM(E65:N65)</f>
        <v>646401847.74018121</v>
      </c>
      <c r="D65" s="27"/>
      <c r="E65" s="28">
        <f t="shared" ref="E65:K65" si="35">-IF(E$9=$C$194, F$62/$C$195,0)</f>
        <v>0</v>
      </c>
      <c r="F65" s="28">
        <f t="shared" si="35"/>
        <v>0</v>
      </c>
      <c r="G65" s="28">
        <f t="shared" si="35"/>
        <v>0</v>
      </c>
      <c r="H65" s="28">
        <f t="shared" si="35"/>
        <v>0</v>
      </c>
      <c r="I65" s="28">
        <f t="shared" si="35"/>
        <v>0</v>
      </c>
      <c r="J65" s="28">
        <f t="shared" si="35"/>
        <v>0</v>
      </c>
      <c r="K65" s="28">
        <f t="shared" si="35"/>
        <v>0</v>
      </c>
      <c r="L65" s="28">
        <f>IF(L$9=$C$194, M$53/$C$195,0)</f>
        <v>646401847.74018121</v>
      </c>
      <c r="M65" s="28">
        <f>-IF(M$9=$C$194, N$62/$C$195,0)</f>
        <v>0</v>
      </c>
      <c r="N65" s="28">
        <f>-IF(N$9=$C$194, O$62/$C$195,0)</f>
        <v>0</v>
      </c>
      <c r="O65" s="20" t="s">
        <v>23</v>
      </c>
    </row>
    <row r="66" spans="1:15">
      <c r="B66" s="26" t="s">
        <v>55</v>
      </c>
      <c r="C66" s="27">
        <f>SUM(E66:N66)</f>
        <v>-32320092.387009062</v>
      </c>
      <c r="D66" s="27"/>
      <c r="E66" s="28">
        <f>-$C$196*E65</f>
        <v>0</v>
      </c>
      <c r="F66" s="28">
        <f t="shared" ref="F66:N66" si="36">-$C$196*F65</f>
        <v>0</v>
      </c>
      <c r="G66" s="28">
        <f t="shared" si="36"/>
        <v>0</v>
      </c>
      <c r="H66" s="28">
        <f t="shared" si="36"/>
        <v>0</v>
      </c>
      <c r="I66" s="28">
        <f t="shared" si="36"/>
        <v>0</v>
      </c>
      <c r="J66" s="28">
        <f t="shared" si="36"/>
        <v>0</v>
      </c>
      <c r="K66" s="28">
        <f t="shared" si="36"/>
        <v>0</v>
      </c>
      <c r="L66" s="28">
        <f>-$C$196*L65</f>
        <v>-32320092.387009062</v>
      </c>
      <c r="M66" s="28">
        <f t="shared" si="36"/>
        <v>0</v>
      </c>
      <c r="N66" s="28">
        <f t="shared" si="36"/>
        <v>0</v>
      </c>
      <c r="O66" s="20" t="s">
        <v>23</v>
      </c>
    </row>
    <row r="67" spans="1:15" s="25" customFormat="1">
      <c r="A67" s="20"/>
      <c r="B67" s="29" t="str">
        <f>"Total Proceeds from "&amp;B64</f>
        <v>Total Proceeds from Exit Sale</v>
      </c>
      <c r="C67" s="30">
        <f>SUM(E67:N67)</f>
        <v>614081755.35317218</v>
      </c>
      <c r="D67" s="30"/>
      <c r="E67" s="42">
        <f>SUM(E65:E66)</f>
        <v>0</v>
      </c>
      <c r="F67" s="42">
        <f t="shared" ref="F67:N67" si="37">SUM(F65:F66)</f>
        <v>0</v>
      </c>
      <c r="G67" s="42">
        <f t="shared" si="37"/>
        <v>0</v>
      </c>
      <c r="H67" s="42">
        <f t="shared" si="37"/>
        <v>0</v>
      </c>
      <c r="I67" s="42">
        <f t="shared" si="37"/>
        <v>0</v>
      </c>
      <c r="J67" s="42">
        <f t="shared" si="37"/>
        <v>0</v>
      </c>
      <c r="K67" s="42">
        <f t="shared" si="37"/>
        <v>0</v>
      </c>
      <c r="L67" s="42">
        <f t="shared" si="37"/>
        <v>614081755.35317218</v>
      </c>
      <c r="M67" s="42">
        <f t="shared" si="37"/>
        <v>0</v>
      </c>
      <c r="N67" s="42">
        <f t="shared" si="37"/>
        <v>0</v>
      </c>
      <c r="O67" s="20" t="s">
        <v>23</v>
      </c>
    </row>
    <row r="68" spans="1:15" s="1" customFormat="1" ht="6.95">
      <c r="C68" s="43"/>
      <c r="O68" s="1" t="s">
        <v>23</v>
      </c>
    </row>
    <row r="69" spans="1:15">
      <c r="A69" s="1"/>
      <c r="B69" s="5" t="s">
        <v>56</v>
      </c>
      <c r="C69" s="44">
        <f>SUM(E69:N69)</f>
        <v>507954054.27467597</v>
      </c>
      <c r="D69" s="45"/>
      <c r="E69" s="46">
        <f t="shared" ref="E69:N69" si="38">IF(E9&gt;$C$194,0,SUM(E67,E62,E54,E28))</f>
        <v>-14500000</v>
      </c>
      <c r="F69" s="46">
        <f t="shared" si="38"/>
        <v>-119664384</v>
      </c>
      <c r="G69" s="46">
        <f t="shared" si="38"/>
        <v>-119664384</v>
      </c>
      <c r="H69" s="46">
        <f t="shared" si="38"/>
        <v>1796242.1689971872</v>
      </c>
      <c r="I69" s="46">
        <f t="shared" si="38"/>
        <v>35136490.245598204</v>
      </c>
      <c r="J69" s="46">
        <f t="shared" si="38"/>
        <v>36014902.501738168</v>
      </c>
      <c r="K69" s="46">
        <f t="shared" si="38"/>
        <v>36915275.064281605</v>
      </c>
      <c r="L69" s="46">
        <f t="shared" si="38"/>
        <v>651919912.29406083</v>
      </c>
      <c r="M69" s="46">
        <f t="shared" si="38"/>
        <v>0</v>
      </c>
      <c r="N69" s="46">
        <f t="shared" si="38"/>
        <v>0</v>
      </c>
      <c r="O69" s="20" t="s">
        <v>23</v>
      </c>
    </row>
    <row r="70" spans="1:15" s="49" customFormat="1">
      <c r="A70" s="20"/>
      <c r="B70" s="47" t="s">
        <v>57</v>
      </c>
      <c r="C70" s="45">
        <f>SUM(E70:N70)</f>
        <v>24532418.070882738</v>
      </c>
      <c r="D70" s="45"/>
      <c r="E70" s="48">
        <f t="shared" ref="E70:N70" si="39">E69/(1+$C$198)^(E$9)</f>
        <v>-12083333.333333334</v>
      </c>
      <c r="F70" s="48">
        <f t="shared" si="39"/>
        <v>-83100266.666666672</v>
      </c>
      <c r="G70" s="48">
        <f t="shared" si="39"/>
        <v>-69250222.222222224</v>
      </c>
      <c r="H70" s="48">
        <f t="shared" si="39"/>
        <v>866243.32995620533</v>
      </c>
      <c r="I70" s="48">
        <f t="shared" si="39"/>
        <v>14120567.38908107</v>
      </c>
      <c r="J70" s="48">
        <f t="shared" si="39"/>
        <v>12061317.978173416</v>
      </c>
      <c r="K70" s="48">
        <f t="shared" si="39"/>
        <v>10302375.773023123</v>
      </c>
      <c r="L70" s="48">
        <f t="shared" si="39"/>
        <v>151615735.82287115</v>
      </c>
      <c r="M70" s="48">
        <f t="shared" si="39"/>
        <v>0</v>
      </c>
      <c r="N70" s="48">
        <f t="shared" si="39"/>
        <v>0</v>
      </c>
      <c r="O70" s="49" t="s">
        <v>23</v>
      </c>
    </row>
    <row r="71" spans="1:15">
      <c r="O71" s="20" t="s">
        <v>23</v>
      </c>
    </row>
    <row r="72" spans="1:15">
      <c r="B72" s="22" t="s">
        <v>58</v>
      </c>
      <c r="O72" s="20" t="s">
        <v>23</v>
      </c>
    </row>
    <row r="73" spans="1:15">
      <c r="B73" s="5" t="s">
        <v>21</v>
      </c>
      <c r="C73" s="23" t="s">
        <v>22</v>
      </c>
      <c r="D73" s="23"/>
      <c r="E73" s="24">
        <v>1</v>
      </c>
      <c r="F73" s="24">
        <f>E73+1</f>
        <v>2</v>
      </c>
      <c r="G73" s="24">
        <f t="shared" ref="G73:N73" si="40">F73+1</f>
        <v>3</v>
      </c>
      <c r="H73" s="24">
        <f t="shared" si="40"/>
        <v>4</v>
      </c>
      <c r="I73" s="24">
        <f t="shared" si="40"/>
        <v>5</v>
      </c>
      <c r="J73" s="24">
        <f t="shared" si="40"/>
        <v>6</v>
      </c>
      <c r="K73" s="24">
        <f t="shared" si="40"/>
        <v>7</v>
      </c>
      <c r="L73" s="24">
        <f t="shared" si="40"/>
        <v>8</v>
      </c>
      <c r="M73" s="24">
        <f t="shared" si="40"/>
        <v>9</v>
      </c>
      <c r="N73" s="24">
        <f t="shared" si="40"/>
        <v>10</v>
      </c>
      <c r="O73" s="20" t="s">
        <v>23</v>
      </c>
    </row>
    <row r="74" spans="1:15" s="1" customFormat="1" ht="6.95">
      <c r="O74" s="1" t="s">
        <v>23</v>
      </c>
    </row>
    <row r="75" spans="1:15">
      <c r="B75" s="25" t="s">
        <v>59</v>
      </c>
      <c r="C75" s="25"/>
      <c r="D75" s="25"/>
      <c r="O75" s="20" t="s">
        <v>23</v>
      </c>
    </row>
    <row r="76" spans="1:15" s="1" customFormat="1" ht="6.95">
      <c r="O76" s="1" t="s">
        <v>23</v>
      </c>
    </row>
    <row r="77" spans="1:15">
      <c r="A77" s="1"/>
      <c r="B77" s="26" t="s">
        <v>60</v>
      </c>
      <c r="C77" s="27"/>
      <c r="D77" s="27"/>
      <c r="E77" s="28">
        <v>0</v>
      </c>
      <c r="F77" s="28">
        <f>E80</f>
        <v>0</v>
      </c>
      <c r="G77" s="28">
        <f t="shared" ref="G77:N77" si="41">F80</f>
        <v>7722000</v>
      </c>
      <c r="H77" s="28">
        <f t="shared" si="41"/>
        <v>15444000</v>
      </c>
      <c r="I77" s="28">
        <f t="shared" si="41"/>
        <v>15444000</v>
      </c>
      <c r="J77" s="28">
        <f t="shared" si="41"/>
        <v>0</v>
      </c>
      <c r="K77" s="28">
        <f t="shared" si="41"/>
        <v>0</v>
      </c>
      <c r="L77" s="28">
        <f t="shared" si="41"/>
        <v>0</v>
      </c>
      <c r="M77" s="28">
        <f t="shared" si="41"/>
        <v>0</v>
      </c>
      <c r="N77" s="28">
        <f t="shared" si="41"/>
        <v>0</v>
      </c>
      <c r="O77" s="20" t="s">
        <v>23</v>
      </c>
    </row>
    <row r="78" spans="1:15">
      <c r="A78" s="1"/>
      <c r="B78" s="26" t="s">
        <v>61</v>
      </c>
      <c r="C78" s="27">
        <f>SUM(E78:N78)</f>
        <v>15444000</v>
      </c>
      <c r="D78" s="27"/>
      <c r="E78" s="28">
        <f t="shared" ref="E78:N78" si="42">IF((E26+E27)&lt;0,0.5*$C$233,0)</f>
        <v>0</v>
      </c>
      <c r="F78" s="28">
        <f t="shared" si="42"/>
        <v>7722000</v>
      </c>
      <c r="G78" s="28">
        <f t="shared" si="42"/>
        <v>7722000</v>
      </c>
      <c r="H78" s="28">
        <f t="shared" si="42"/>
        <v>0</v>
      </c>
      <c r="I78" s="28">
        <f t="shared" si="42"/>
        <v>0</v>
      </c>
      <c r="J78" s="28">
        <f t="shared" si="42"/>
        <v>0</v>
      </c>
      <c r="K78" s="28">
        <f t="shared" si="42"/>
        <v>0</v>
      </c>
      <c r="L78" s="28">
        <f t="shared" si="42"/>
        <v>0</v>
      </c>
      <c r="M78" s="28">
        <f t="shared" si="42"/>
        <v>0</v>
      </c>
      <c r="N78" s="28">
        <f t="shared" si="42"/>
        <v>0</v>
      </c>
      <c r="O78" s="20" t="s">
        <v>23</v>
      </c>
    </row>
    <row r="79" spans="1:15">
      <c r="A79" s="1"/>
      <c r="B79" s="26" t="s">
        <v>62</v>
      </c>
      <c r="C79" s="27">
        <f>SUM(E79:N79)</f>
        <v>-15444000</v>
      </c>
      <c r="D79" s="27"/>
      <c r="E79" s="28">
        <f t="shared" ref="E79:N79" si="43">-IF(E9=$C$182,E77,0)</f>
        <v>0</v>
      </c>
      <c r="F79" s="28">
        <f t="shared" si="43"/>
        <v>0</v>
      </c>
      <c r="G79" s="28">
        <f t="shared" si="43"/>
        <v>0</v>
      </c>
      <c r="H79" s="28">
        <f t="shared" si="43"/>
        <v>0</v>
      </c>
      <c r="I79" s="28">
        <f t="shared" si="43"/>
        <v>-15444000</v>
      </c>
      <c r="J79" s="28">
        <f t="shared" si="43"/>
        <v>0</v>
      </c>
      <c r="K79" s="28">
        <f t="shared" si="43"/>
        <v>0</v>
      </c>
      <c r="L79" s="28">
        <f t="shared" si="43"/>
        <v>0</v>
      </c>
      <c r="M79" s="28">
        <f t="shared" si="43"/>
        <v>0</v>
      </c>
      <c r="N79" s="28">
        <f t="shared" si="43"/>
        <v>0</v>
      </c>
      <c r="O79" s="20" t="s">
        <v>23</v>
      </c>
    </row>
    <row r="80" spans="1:15">
      <c r="A80" s="1"/>
      <c r="B80" s="26" t="s">
        <v>63</v>
      </c>
      <c r="C80" s="27"/>
      <c r="D80" s="27"/>
      <c r="E80" s="50">
        <f t="shared" ref="E80:N80" si="44">SUM(E77:E79)</f>
        <v>0</v>
      </c>
      <c r="F80" s="50">
        <f t="shared" si="44"/>
        <v>7722000</v>
      </c>
      <c r="G80" s="50">
        <f t="shared" si="44"/>
        <v>15444000</v>
      </c>
      <c r="H80" s="50">
        <f t="shared" ref="H80" si="45">SUM(H77:H79)</f>
        <v>15444000</v>
      </c>
      <c r="I80" s="50">
        <f t="shared" si="44"/>
        <v>0</v>
      </c>
      <c r="J80" s="50">
        <f t="shared" si="44"/>
        <v>0</v>
      </c>
      <c r="K80" s="50">
        <f t="shared" si="44"/>
        <v>0</v>
      </c>
      <c r="L80" s="50">
        <f t="shared" si="44"/>
        <v>0</v>
      </c>
      <c r="M80" s="50">
        <f t="shared" si="44"/>
        <v>0</v>
      </c>
      <c r="N80" s="50">
        <f t="shared" si="44"/>
        <v>0</v>
      </c>
      <c r="O80" s="20" t="s">
        <v>23</v>
      </c>
    </row>
    <row r="81" spans="1:15" s="1" customFormat="1" ht="6.95">
      <c r="O81" s="1" t="s">
        <v>23</v>
      </c>
    </row>
    <row r="82" spans="1:15">
      <c r="A82" s="1"/>
      <c r="B82" s="26" t="s">
        <v>64</v>
      </c>
      <c r="C82" s="27">
        <f>SUM(E82:N82)</f>
        <v>-2413125</v>
      </c>
      <c r="D82" s="27"/>
      <c r="E82" s="28">
        <f t="shared" ref="E82:N82" si="46">-IF(E73&lt;$C$182,E80*$C$231,0)</f>
        <v>0</v>
      </c>
      <c r="F82" s="28">
        <f t="shared" si="46"/>
        <v>-482625</v>
      </c>
      <c r="G82" s="28">
        <f t="shared" si="46"/>
        <v>-965250</v>
      </c>
      <c r="H82" s="28">
        <f t="shared" si="46"/>
        <v>-965250</v>
      </c>
      <c r="I82" s="28">
        <f t="shared" si="46"/>
        <v>0</v>
      </c>
      <c r="J82" s="28">
        <f t="shared" si="46"/>
        <v>0</v>
      </c>
      <c r="K82" s="28">
        <f t="shared" si="46"/>
        <v>0</v>
      </c>
      <c r="L82" s="28">
        <f t="shared" si="46"/>
        <v>0</v>
      </c>
      <c r="M82" s="28">
        <f t="shared" si="46"/>
        <v>0</v>
      </c>
      <c r="N82" s="28">
        <f t="shared" si="46"/>
        <v>0</v>
      </c>
      <c r="O82" s="20" t="s">
        <v>23</v>
      </c>
    </row>
    <row r="83" spans="1:15" s="1" customFormat="1" ht="6.95">
      <c r="O83" s="1" t="s">
        <v>23</v>
      </c>
    </row>
    <row r="84" spans="1:15">
      <c r="A84" s="1"/>
      <c r="B84" s="26" t="s">
        <v>65</v>
      </c>
      <c r="C84" s="27"/>
      <c r="D84" s="27"/>
      <c r="E84" s="51">
        <f>-E78*$C$234</f>
        <v>0</v>
      </c>
      <c r="F84" s="51">
        <f t="shared" ref="F84:N84" si="47">-F78*$C$234</f>
        <v>-115830</v>
      </c>
      <c r="G84" s="51">
        <f t="shared" si="47"/>
        <v>-115830</v>
      </c>
      <c r="H84" s="51">
        <f t="shared" si="47"/>
        <v>0</v>
      </c>
      <c r="I84" s="51">
        <f t="shared" si="47"/>
        <v>0</v>
      </c>
      <c r="J84" s="51">
        <f t="shared" si="47"/>
        <v>0</v>
      </c>
      <c r="K84" s="51">
        <f t="shared" si="47"/>
        <v>0</v>
      </c>
      <c r="L84" s="51">
        <f t="shared" si="47"/>
        <v>0</v>
      </c>
      <c r="M84" s="51">
        <f t="shared" si="47"/>
        <v>0</v>
      </c>
      <c r="N84" s="51">
        <f t="shared" si="47"/>
        <v>0</v>
      </c>
      <c r="O84" s="20" t="s">
        <v>23</v>
      </c>
    </row>
    <row r="85" spans="1:15" s="25" customFormat="1">
      <c r="A85" s="20"/>
      <c r="B85" s="29" t="str">
        <f>"Total "&amp;B75&amp;" Cash Flow"</f>
        <v>Total Construction Loan Cash Flow</v>
      </c>
      <c r="C85" s="30">
        <f>C78+C82+C79</f>
        <v>-2413125</v>
      </c>
      <c r="D85" s="30"/>
      <c r="E85" s="42">
        <f t="shared" ref="E85:N85" si="48">E78+E82+E79+E84</f>
        <v>0</v>
      </c>
      <c r="F85" s="42">
        <f t="shared" si="48"/>
        <v>7123545</v>
      </c>
      <c r="G85" s="42">
        <f t="shared" si="48"/>
        <v>6640920</v>
      </c>
      <c r="H85" s="42">
        <f t="shared" si="48"/>
        <v>-965250</v>
      </c>
      <c r="I85" s="42">
        <f t="shared" si="48"/>
        <v>-15444000</v>
      </c>
      <c r="J85" s="42">
        <f t="shared" si="48"/>
        <v>0</v>
      </c>
      <c r="K85" s="42">
        <f t="shared" si="48"/>
        <v>0</v>
      </c>
      <c r="L85" s="42">
        <f t="shared" si="48"/>
        <v>0</v>
      </c>
      <c r="M85" s="42">
        <f t="shared" si="48"/>
        <v>0</v>
      </c>
      <c r="N85" s="42">
        <f t="shared" si="48"/>
        <v>0</v>
      </c>
      <c r="O85" s="20" t="s">
        <v>23</v>
      </c>
    </row>
    <row r="86" spans="1:15" s="1" customFormat="1" ht="6.95">
      <c r="O86" s="1" t="s">
        <v>23</v>
      </c>
    </row>
    <row r="87" spans="1:15">
      <c r="B87" s="25" t="s">
        <v>66</v>
      </c>
      <c r="C87" s="25"/>
      <c r="D87" s="25"/>
      <c r="O87" s="20" t="s">
        <v>23</v>
      </c>
    </row>
    <row r="88" spans="1:15">
      <c r="A88" s="1"/>
      <c r="B88" s="26" t="s">
        <v>67</v>
      </c>
      <c r="C88" s="27">
        <f>SUM(E88:N88)</f>
        <v>437563513.39523554</v>
      </c>
      <c r="D88" s="27"/>
      <c r="E88" s="28">
        <f t="shared" ref="E88:N88" si="49">IF(E73=$C$182,$C$247,0)</f>
        <v>0</v>
      </c>
      <c r="F88" s="28">
        <f t="shared" si="49"/>
        <v>0</v>
      </c>
      <c r="G88" s="28">
        <f t="shared" si="49"/>
        <v>0</v>
      </c>
      <c r="H88" s="28">
        <f t="shared" si="49"/>
        <v>0</v>
      </c>
      <c r="I88" s="28">
        <f t="shared" si="49"/>
        <v>437563513.39523554</v>
      </c>
      <c r="J88" s="28">
        <f t="shared" si="49"/>
        <v>0</v>
      </c>
      <c r="K88" s="28">
        <f t="shared" si="49"/>
        <v>0</v>
      </c>
      <c r="L88" s="28">
        <f t="shared" si="49"/>
        <v>0</v>
      </c>
      <c r="M88" s="28">
        <f t="shared" si="49"/>
        <v>0</v>
      </c>
      <c r="N88" s="28">
        <f t="shared" si="49"/>
        <v>0</v>
      </c>
      <c r="O88" s="20" t="s">
        <v>23</v>
      </c>
    </row>
    <row r="89" spans="1:15" s="1" customFormat="1" ht="6.95">
      <c r="O89" s="1" t="s">
        <v>23</v>
      </c>
    </row>
    <row r="90" spans="1:15">
      <c r="A90" s="1"/>
      <c r="B90" s="26" t="s">
        <v>68</v>
      </c>
      <c r="C90" s="27"/>
      <c r="D90" s="27"/>
      <c r="E90" s="28">
        <f>E88</f>
        <v>0</v>
      </c>
      <c r="F90" s="28">
        <f t="shared" ref="F90:I90" si="50">F88</f>
        <v>0</v>
      </c>
      <c r="G90" s="28">
        <f t="shared" si="50"/>
        <v>0</v>
      </c>
      <c r="H90" s="28">
        <f t="shared" si="50"/>
        <v>0</v>
      </c>
      <c r="I90" s="28">
        <f t="shared" si="50"/>
        <v>437563513.39523554</v>
      </c>
      <c r="J90" s="28">
        <f>I95</f>
        <v>431255189.31048691</v>
      </c>
      <c r="K90" s="28">
        <f t="shared" ref="K90:N90" si="51">J95</f>
        <v>424615678.21128899</v>
      </c>
      <c r="L90" s="28">
        <f t="shared" si="51"/>
        <v>417627592.77938318</v>
      </c>
      <c r="M90" s="28">
        <f t="shared" si="51"/>
        <v>0</v>
      </c>
      <c r="N90" s="28">
        <f t="shared" si="51"/>
        <v>0</v>
      </c>
      <c r="O90" s="20" t="s">
        <v>23</v>
      </c>
    </row>
    <row r="91" spans="1:15">
      <c r="A91" s="1"/>
      <c r="B91" s="26" t="s">
        <v>69</v>
      </c>
      <c r="C91" s="27">
        <f>SUM(E91:N91)</f>
        <v>-117121634.15199402</v>
      </c>
      <c r="D91" s="27"/>
      <c r="E91" s="28">
        <f t="shared" ref="E91:N91" si="52">IF((AND(E73&gt;=$C$182,E73&lt;=$C$194)),PMT($C$241,$C$239,$C$247),0)</f>
        <v>0</v>
      </c>
      <c r="F91" s="28">
        <f t="shared" si="52"/>
        <v>0</v>
      </c>
      <c r="G91" s="28">
        <f t="shared" si="52"/>
        <v>0</v>
      </c>
      <c r="H91" s="28">
        <f t="shared" si="52"/>
        <v>0</v>
      </c>
      <c r="I91" s="28">
        <f t="shared" si="52"/>
        <v>-29280408.537998505</v>
      </c>
      <c r="J91" s="28">
        <f t="shared" si="52"/>
        <v>-29280408.537998505</v>
      </c>
      <c r="K91" s="28">
        <f t="shared" si="52"/>
        <v>-29280408.537998505</v>
      </c>
      <c r="L91" s="28">
        <f t="shared" si="52"/>
        <v>-29280408.537998505</v>
      </c>
      <c r="M91" s="28">
        <f t="shared" si="52"/>
        <v>0</v>
      </c>
      <c r="N91" s="28">
        <f t="shared" si="52"/>
        <v>0</v>
      </c>
      <c r="O91" s="20" t="s">
        <v>23</v>
      </c>
    </row>
    <row r="92" spans="1:15">
      <c r="A92" s="1"/>
      <c r="B92" s="26" t="s">
        <v>64</v>
      </c>
      <c r="C92" s="27">
        <f>SUM(E92:N92)</f>
        <v>-89830753.619060725</v>
      </c>
      <c r="D92" s="27"/>
      <c r="E92" s="28">
        <f>-$C$241*E90</f>
        <v>0</v>
      </c>
      <c r="F92" s="28">
        <f t="shared" ref="F92:N92" si="53">-$C$241*F90</f>
        <v>0</v>
      </c>
      <c r="G92" s="28">
        <f t="shared" si="53"/>
        <v>0</v>
      </c>
      <c r="H92" s="28">
        <f t="shared" si="53"/>
        <v>0</v>
      </c>
      <c r="I92" s="28">
        <f t="shared" si="53"/>
        <v>-22972084.453249864</v>
      </c>
      <c r="J92" s="28">
        <f t="shared" si="53"/>
        <v>-22640897.438800562</v>
      </c>
      <c r="K92" s="28">
        <f t="shared" si="53"/>
        <v>-22292323.106092673</v>
      </c>
      <c r="L92" s="28">
        <f t="shared" si="53"/>
        <v>-21925448.620917615</v>
      </c>
      <c r="M92" s="28">
        <f t="shared" si="53"/>
        <v>0</v>
      </c>
      <c r="N92" s="28">
        <f t="shared" si="53"/>
        <v>0</v>
      </c>
      <c r="O92" s="20" t="s">
        <v>23</v>
      </c>
    </row>
    <row r="93" spans="1:15">
      <c r="A93" s="1"/>
      <c r="B93" s="26" t="s">
        <v>70</v>
      </c>
      <c r="C93" s="27">
        <f>SUM(E93:N93)</f>
        <v>-27290880.532933306</v>
      </c>
      <c r="D93" s="27"/>
      <c r="E93" s="28">
        <f t="shared" ref="E93:N93" si="54">E91-E92</f>
        <v>0</v>
      </c>
      <c r="F93" s="28">
        <f t="shared" si="54"/>
        <v>0</v>
      </c>
      <c r="G93" s="28">
        <f t="shared" si="54"/>
        <v>0</v>
      </c>
      <c r="H93" s="28">
        <f t="shared" si="54"/>
        <v>0</v>
      </c>
      <c r="I93" s="28">
        <f t="shared" si="54"/>
        <v>-6308324.0847486407</v>
      </c>
      <c r="J93" s="28">
        <f t="shared" si="54"/>
        <v>-6639511.0991979428</v>
      </c>
      <c r="K93" s="28">
        <f t="shared" si="54"/>
        <v>-6988085.4319058321</v>
      </c>
      <c r="L93" s="28">
        <f t="shared" si="54"/>
        <v>-7354959.9170808904</v>
      </c>
      <c r="M93" s="28">
        <f t="shared" si="54"/>
        <v>0</v>
      </c>
      <c r="N93" s="28">
        <f t="shared" si="54"/>
        <v>0</v>
      </c>
      <c r="O93" s="20" t="s">
        <v>23</v>
      </c>
    </row>
    <row r="94" spans="1:15">
      <c r="A94" s="1"/>
      <c r="B94" s="26" t="s">
        <v>71</v>
      </c>
      <c r="C94" s="27">
        <f>SUM(E94:N94)</f>
        <v>-410272632.8623023</v>
      </c>
      <c r="D94" s="27"/>
      <c r="E94" s="52">
        <f t="shared" ref="E94:N94" si="55">IF(E$73=$C$194,-(E90+E93),0)</f>
        <v>0</v>
      </c>
      <c r="F94" s="52">
        <f t="shared" si="55"/>
        <v>0</v>
      </c>
      <c r="G94" s="52">
        <f t="shared" si="55"/>
        <v>0</v>
      </c>
      <c r="H94" s="52">
        <f t="shared" si="55"/>
        <v>0</v>
      </c>
      <c r="I94" s="52">
        <f t="shared" si="55"/>
        <v>0</v>
      </c>
      <c r="J94" s="52">
        <f t="shared" si="55"/>
        <v>0</v>
      </c>
      <c r="K94" s="52">
        <f t="shared" si="55"/>
        <v>0</v>
      </c>
      <c r="L94" s="52">
        <f t="shared" si="55"/>
        <v>-410272632.8623023</v>
      </c>
      <c r="M94" s="52">
        <f t="shared" si="55"/>
        <v>0</v>
      </c>
      <c r="N94" s="52">
        <f t="shared" si="55"/>
        <v>0</v>
      </c>
      <c r="O94" s="20" t="s">
        <v>23</v>
      </c>
    </row>
    <row r="95" spans="1:15">
      <c r="A95" s="1"/>
      <c r="B95" s="26" t="s">
        <v>72</v>
      </c>
      <c r="C95" s="27"/>
      <c r="D95" s="27"/>
      <c r="E95" s="53">
        <f>E90+E93+E94</f>
        <v>0</v>
      </c>
      <c r="F95" s="53">
        <f t="shared" ref="F95:N95" si="56">F90+F93+F94</f>
        <v>0</v>
      </c>
      <c r="G95" s="53">
        <f t="shared" si="56"/>
        <v>0</v>
      </c>
      <c r="H95" s="53">
        <f t="shared" si="56"/>
        <v>0</v>
      </c>
      <c r="I95" s="53">
        <f>I90+I93+I94</f>
        <v>431255189.31048691</v>
      </c>
      <c r="J95" s="53">
        <f t="shared" si="56"/>
        <v>424615678.21128899</v>
      </c>
      <c r="K95" s="53">
        <f t="shared" si="56"/>
        <v>417627592.77938318</v>
      </c>
      <c r="L95" s="53">
        <f t="shared" si="56"/>
        <v>0</v>
      </c>
      <c r="M95" s="53">
        <f t="shared" si="56"/>
        <v>0</v>
      </c>
      <c r="N95" s="53">
        <f t="shared" si="56"/>
        <v>0</v>
      </c>
      <c r="O95" s="20" t="s">
        <v>23</v>
      </c>
    </row>
    <row r="96" spans="1:15" s="1" customFormat="1" ht="6.95">
      <c r="O96" s="1" t="s">
        <v>23</v>
      </c>
    </row>
    <row r="97" spans="1:15">
      <c r="A97" s="1"/>
      <c r="B97" s="26" t="s">
        <v>65</v>
      </c>
      <c r="C97" s="27"/>
      <c r="D97" s="27"/>
      <c r="E97" s="51">
        <f>-$C$234*E88</f>
        <v>0</v>
      </c>
      <c r="F97" s="51">
        <f t="shared" ref="F97:N97" si="57">-$C$234*F88</f>
        <v>0</v>
      </c>
      <c r="G97" s="51">
        <f t="shared" si="57"/>
        <v>0</v>
      </c>
      <c r="H97" s="51">
        <f t="shared" si="57"/>
        <v>0</v>
      </c>
      <c r="I97" s="51">
        <f t="shared" si="57"/>
        <v>-6563452.7009285325</v>
      </c>
      <c r="J97" s="51">
        <f t="shared" si="57"/>
        <v>0</v>
      </c>
      <c r="K97" s="51">
        <f t="shared" si="57"/>
        <v>0</v>
      </c>
      <c r="L97" s="51">
        <f t="shared" si="57"/>
        <v>0</v>
      </c>
      <c r="M97" s="51">
        <f t="shared" si="57"/>
        <v>0</v>
      </c>
      <c r="N97" s="51">
        <f t="shared" si="57"/>
        <v>0</v>
      </c>
      <c r="O97" s="20" t="s">
        <v>23</v>
      </c>
    </row>
    <row r="98" spans="1:15" s="25" customFormat="1">
      <c r="A98" s="20"/>
      <c r="B98" s="29" t="str">
        <f>"Total "&amp;B87&amp;" Cash Flow"</f>
        <v>Total Permanent Loan Cash Flow</v>
      </c>
      <c r="C98" s="30">
        <f>SUM(E98:N98)</f>
        <v>-96394206.319989264</v>
      </c>
      <c r="D98" s="30"/>
      <c r="E98" s="42">
        <f t="shared" ref="E98:N98" si="58">E88+E91+E94+E97</f>
        <v>0</v>
      </c>
      <c r="F98" s="42">
        <f t="shared" si="58"/>
        <v>0</v>
      </c>
      <c r="G98" s="42">
        <f t="shared" si="58"/>
        <v>0</v>
      </c>
      <c r="H98" s="42">
        <f t="shared" si="58"/>
        <v>0</v>
      </c>
      <c r="I98" s="42">
        <f>I88+I91+I94+I97</f>
        <v>401719652.15630853</v>
      </c>
      <c r="J98" s="42">
        <f t="shared" si="58"/>
        <v>-29280408.537998505</v>
      </c>
      <c r="K98" s="42">
        <f t="shared" si="58"/>
        <v>-29280408.537998505</v>
      </c>
      <c r="L98" s="42">
        <f>L88+L91+L94+L97</f>
        <v>-439553041.4003008</v>
      </c>
      <c r="M98" s="42">
        <f t="shared" si="58"/>
        <v>0</v>
      </c>
      <c r="N98" s="42">
        <f t="shared" si="58"/>
        <v>0</v>
      </c>
      <c r="O98" s="20" t="s">
        <v>23</v>
      </c>
    </row>
    <row r="99" spans="1:15" s="39" customFormat="1">
      <c r="B99" s="40" t="s">
        <v>73</v>
      </c>
      <c r="C99" s="41">
        <f t="shared" ref="C99" si="59">SUM(E99:N99)</f>
        <v>-29280408.537998505</v>
      </c>
      <c r="D99" s="41"/>
      <c r="E99" s="41" t="b">
        <f t="shared" ref="E99:N99" si="60">IF(E$9=$C$182,E91)</f>
        <v>0</v>
      </c>
      <c r="F99" s="41" t="b">
        <f t="shared" si="60"/>
        <v>0</v>
      </c>
      <c r="G99" s="41" t="b">
        <f t="shared" si="60"/>
        <v>0</v>
      </c>
      <c r="H99" s="41" t="b">
        <f t="shared" si="60"/>
        <v>0</v>
      </c>
      <c r="I99" s="41">
        <f t="shared" si="60"/>
        <v>-29280408.537998505</v>
      </c>
      <c r="J99" s="41" t="b">
        <f t="shared" si="60"/>
        <v>0</v>
      </c>
      <c r="K99" s="41" t="b">
        <f t="shared" si="60"/>
        <v>0</v>
      </c>
      <c r="L99" s="41" t="b">
        <f t="shared" si="60"/>
        <v>0</v>
      </c>
      <c r="M99" s="41" t="b">
        <f t="shared" si="60"/>
        <v>0</v>
      </c>
      <c r="N99" s="41" t="b">
        <f t="shared" si="60"/>
        <v>0</v>
      </c>
      <c r="O99" s="39" t="s">
        <v>23</v>
      </c>
    </row>
    <row r="100" spans="1:15" s="1" customFormat="1" ht="6.95">
      <c r="C100" s="43"/>
      <c r="O100" s="1" t="s">
        <v>23</v>
      </c>
    </row>
    <row r="101" spans="1:15">
      <c r="A101" s="1"/>
      <c r="B101" s="5" t="s">
        <v>74</v>
      </c>
      <c r="C101" s="44">
        <f>SUM(E101:N101)</f>
        <v>408915062.9546867</v>
      </c>
      <c r="D101" s="45"/>
      <c r="E101" s="46">
        <f>SUM(E98,E85,E69)</f>
        <v>-14500000</v>
      </c>
      <c r="F101" s="46">
        <f>SUM(F98,F85,F69)</f>
        <v>-112540839</v>
      </c>
      <c r="G101" s="46">
        <f>SUM(G98,G85,G69)</f>
        <v>-113023464</v>
      </c>
      <c r="H101" s="46">
        <f t="shared" ref="H101:N101" si="61">SUM(H98,H85,H69)</f>
        <v>830992.16899718717</v>
      </c>
      <c r="I101" s="46">
        <f t="shared" si="61"/>
        <v>421412142.40190673</v>
      </c>
      <c r="J101" s="46">
        <f t="shared" si="61"/>
        <v>6734493.9637396634</v>
      </c>
      <c r="K101" s="46">
        <f t="shared" si="61"/>
        <v>7634866.5262831002</v>
      </c>
      <c r="L101" s="46">
        <f t="shared" si="61"/>
        <v>212366870.89376003</v>
      </c>
      <c r="M101" s="46">
        <f t="shared" si="61"/>
        <v>0</v>
      </c>
      <c r="N101" s="46">
        <f t="shared" si="61"/>
        <v>0</v>
      </c>
      <c r="O101" s="20" t="s">
        <v>23</v>
      </c>
    </row>
    <row r="102" spans="1:15" s="49" customFormat="1">
      <c r="A102" s="20"/>
      <c r="B102" s="47" t="s">
        <v>57</v>
      </c>
      <c r="C102" s="45">
        <f>SUM(E102:N102)</f>
        <v>67888912.490860164</v>
      </c>
      <c r="D102" s="45"/>
      <c r="E102" s="48">
        <f t="shared" ref="E102:N102" si="62">E101/(1+$C$198)^(E$9)</f>
        <v>-12083333.333333334</v>
      </c>
      <c r="F102" s="48">
        <f t="shared" si="62"/>
        <v>-78153360.416666672</v>
      </c>
      <c r="G102" s="48">
        <f t="shared" si="62"/>
        <v>-65407097.222222224</v>
      </c>
      <c r="H102" s="48">
        <f t="shared" si="62"/>
        <v>400748.53828953858</v>
      </c>
      <c r="I102" s="48">
        <f t="shared" si="62"/>
        <v>169356088.60673335</v>
      </c>
      <c r="J102" s="48">
        <f t="shared" si="62"/>
        <v>2255368.4024226735</v>
      </c>
      <c r="K102" s="48">
        <f t="shared" si="62"/>
        <v>2130751.1265641693</v>
      </c>
      <c r="L102" s="48">
        <f t="shared" si="62"/>
        <v>49389746.789072633</v>
      </c>
      <c r="M102" s="48">
        <f t="shared" si="62"/>
        <v>0</v>
      </c>
      <c r="N102" s="48">
        <f t="shared" si="62"/>
        <v>0</v>
      </c>
      <c r="O102" s="49" t="s">
        <v>23</v>
      </c>
    </row>
    <row r="103" spans="1:15">
      <c r="A103" s="1"/>
      <c r="E103" s="54"/>
    </row>
    <row r="104" spans="1:15">
      <c r="A104" s="1"/>
      <c r="B104" s="22" t="s">
        <v>75</v>
      </c>
    </row>
    <row r="105" spans="1:15">
      <c r="B105" s="5" t="s">
        <v>21</v>
      </c>
      <c r="C105" s="23" t="s">
        <v>76</v>
      </c>
      <c r="D105" s="55"/>
      <c r="F105" s="25"/>
    </row>
    <row r="106" spans="1:15">
      <c r="A106" s="1"/>
      <c r="B106" s="20" t="s">
        <v>77</v>
      </c>
      <c r="C106" s="56">
        <f>C70</f>
        <v>24532418.070882738</v>
      </c>
      <c r="D106" s="38"/>
      <c r="F106" s="25"/>
    </row>
    <row r="107" spans="1:15">
      <c r="B107" s="20" t="s">
        <v>78</v>
      </c>
      <c r="C107" s="57">
        <f>C55/-C28</f>
        <v>0.13842595747696418</v>
      </c>
      <c r="D107" s="58"/>
    </row>
    <row r="108" spans="1:15">
      <c r="B108" s="59" t="s">
        <v>79</v>
      </c>
      <c r="C108" s="60">
        <f>IRR(E69:N69)</f>
        <v>0.23239255679189408</v>
      </c>
      <c r="D108" s="61"/>
    </row>
    <row r="109" spans="1:15">
      <c r="B109" s="49" t="s">
        <v>80</v>
      </c>
    </row>
    <row r="110" spans="1:15">
      <c r="B110" s="49"/>
    </row>
    <row r="111" spans="1:15">
      <c r="B111" s="22" t="s">
        <v>81</v>
      </c>
    </row>
    <row r="112" spans="1:15">
      <c r="B112" s="5" t="s">
        <v>21</v>
      </c>
      <c r="C112" s="23" t="s">
        <v>76</v>
      </c>
      <c r="D112" s="55"/>
      <c r="F112" s="25"/>
    </row>
    <row r="113" spans="1:6 16384:16384">
      <c r="A113" s="1"/>
      <c r="B113" s="20" t="s">
        <v>77</v>
      </c>
      <c r="C113" s="56">
        <f>C102</f>
        <v>67888912.490860164</v>
      </c>
      <c r="D113" s="38"/>
      <c r="F113" s="25"/>
    </row>
    <row r="114" spans="1:6 16384:16384">
      <c r="B114" s="59" t="s">
        <v>79</v>
      </c>
      <c r="C114" s="62">
        <f>IRR(E101:N101)</f>
        <v>0.33966913212251582</v>
      </c>
      <c r="D114" s="61"/>
    </row>
    <row r="116" spans="1:6 16384:16384">
      <c r="B116" s="22" t="s">
        <v>82</v>
      </c>
    </row>
    <row r="117" spans="1:6 16384:16384">
      <c r="A117" s="1"/>
      <c r="B117" s="5" t="s">
        <v>21</v>
      </c>
      <c r="C117" s="23" t="s">
        <v>83</v>
      </c>
      <c r="D117" s="55"/>
    </row>
    <row r="118" spans="1:6 16384:16384" s="1" customFormat="1" ht="15" customHeight="1">
      <c r="B118" s="63"/>
      <c r="C118" s="63"/>
      <c r="D118" s="63"/>
    </row>
    <row r="119" spans="1:6 16384:16384" s="1" customFormat="1" ht="15" customHeight="1">
      <c r="B119" s="20" t="s">
        <v>84</v>
      </c>
      <c r="C119" s="64">
        <v>114563</v>
      </c>
      <c r="D119" s="63"/>
    </row>
    <row r="120" spans="1:6 16384:16384" s="1" customFormat="1" ht="15" customHeight="1">
      <c r="B120" s="20" t="s">
        <v>87</v>
      </c>
      <c r="C120" s="83">
        <v>0.8</v>
      </c>
      <c r="D120" s="63"/>
    </row>
    <row r="121" spans="1:6 16384:16384" s="1" customFormat="1" ht="15" customHeight="1">
      <c r="B121" s="20" t="s">
        <v>92</v>
      </c>
      <c r="C121" s="84">
        <v>8</v>
      </c>
      <c r="D121" s="63"/>
    </row>
    <row r="122" spans="1:6 16384:16384" ht="15" customHeight="1">
      <c r="B122" s="20" t="s">
        <v>93</v>
      </c>
      <c r="C122" s="68">
        <f>$C$119*C120*C121</f>
        <v>733203.20000000007</v>
      </c>
      <c r="D122" s="65"/>
      <c r="XFD122" s="20">
        <f>SUM(A122:XFC122)</f>
        <v>733203.20000000007</v>
      </c>
    </row>
    <row r="123" spans="1:6 16384:16384">
      <c r="B123" s="20" t="s">
        <v>94</v>
      </c>
      <c r="C123" s="83">
        <v>0.5</v>
      </c>
      <c r="D123" s="65"/>
    </row>
    <row r="124" spans="1:6 16384:16384">
      <c r="B124" s="20" t="s">
        <v>95</v>
      </c>
      <c r="C124" s="83">
        <v>0.25</v>
      </c>
      <c r="D124" s="65"/>
    </row>
    <row r="125" spans="1:6 16384:16384">
      <c r="B125" s="20" t="s">
        <v>96</v>
      </c>
      <c r="C125" s="83">
        <v>0.25</v>
      </c>
      <c r="D125" s="65"/>
    </row>
    <row r="126" spans="1:6 16384:16384">
      <c r="B126" s="20" t="s">
        <v>97</v>
      </c>
      <c r="C126" s="91" t="str">
        <f>IF(SUM(C123:C125)=1,"GOOD", "CHANGE ALLOCATION")</f>
        <v>GOOD</v>
      </c>
      <c r="D126" s="65"/>
    </row>
    <row r="127" spans="1:6 16384:16384">
      <c r="B127" s="20" t="s">
        <v>98</v>
      </c>
      <c r="C127" s="86">
        <f>C123*$C$122</f>
        <v>366601.60000000003</v>
      </c>
      <c r="D127" s="65"/>
    </row>
    <row r="128" spans="1:6 16384:16384">
      <c r="B128" s="20" t="s">
        <v>99</v>
      </c>
      <c r="C128" s="86">
        <f t="shared" ref="C128:C129" si="63">C124*$C$122</f>
        <v>183300.80000000002</v>
      </c>
      <c r="D128" s="65"/>
    </row>
    <row r="129" spans="2:4 16384:16384">
      <c r="B129" s="20" t="s">
        <v>100</v>
      </c>
      <c r="C129" s="86">
        <f t="shared" si="63"/>
        <v>183300.80000000002</v>
      </c>
      <c r="D129" s="65"/>
    </row>
    <row r="130" spans="2:4 16384:16384">
      <c r="C130" s="88"/>
      <c r="D130" s="65"/>
    </row>
    <row r="131" spans="2:4 16384:16384">
      <c r="B131" s="20" t="s">
        <v>101</v>
      </c>
      <c r="C131" s="66">
        <v>0.82</v>
      </c>
      <c r="D131" s="67"/>
      <c r="XFD131" s="20">
        <f>SUM(A131:XFC131)</f>
        <v>0.82</v>
      </c>
    </row>
    <row r="132" spans="2:4 16384:16384">
      <c r="B132" s="20" t="s">
        <v>102</v>
      </c>
      <c r="C132" s="68">
        <f>C131*C127</f>
        <v>300613.31200000003</v>
      </c>
      <c r="D132" s="69"/>
    </row>
    <row r="133" spans="2:4 16384:16384">
      <c r="B133" s="20" t="s">
        <v>103</v>
      </c>
      <c r="C133" s="64">
        <v>750</v>
      </c>
      <c r="D133" s="69"/>
    </row>
    <row r="134" spans="2:4 16384:16384">
      <c r="B134" s="20" t="s">
        <v>104</v>
      </c>
      <c r="C134" s="89">
        <f>ROUNDUP(C132/C133,0)</f>
        <v>401</v>
      </c>
      <c r="D134" s="69"/>
    </row>
    <row r="135" spans="2:4 16384:16384">
      <c r="B135" s="20" t="s">
        <v>105</v>
      </c>
      <c r="C135" s="66">
        <v>0.95</v>
      </c>
      <c r="D135" s="69"/>
    </row>
    <row r="136" spans="2:4 16384:16384">
      <c r="B136" s="20" t="s">
        <v>106</v>
      </c>
      <c r="C136" s="68">
        <f>C135*C128</f>
        <v>174135.76</v>
      </c>
      <c r="D136" s="69"/>
    </row>
    <row r="137" spans="2:4 16384:16384">
      <c r="B137" s="20" t="s">
        <v>107</v>
      </c>
      <c r="C137" s="66">
        <v>0.9</v>
      </c>
      <c r="D137" s="69"/>
    </row>
    <row r="138" spans="2:4 16384:16384">
      <c r="B138" s="20" t="s">
        <v>108</v>
      </c>
      <c r="C138" s="68">
        <f>C137*C129</f>
        <v>164970.72000000003</v>
      </c>
      <c r="D138" s="69"/>
    </row>
    <row r="139" spans="2:4 16384:16384">
      <c r="C139" s="69"/>
      <c r="D139" s="69"/>
    </row>
    <row r="140" spans="2:4 16384:16384">
      <c r="B140" s="20" t="s">
        <v>109</v>
      </c>
      <c r="C140" s="66">
        <v>0.9</v>
      </c>
      <c r="D140" s="69"/>
      <c r="XFD140" s="20">
        <f>SUM(A140:XFC140)</f>
        <v>0.9</v>
      </c>
    </row>
    <row r="141" spans="2:4 16384:16384">
      <c r="B141" s="20" t="s">
        <v>110</v>
      </c>
      <c r="C141" s="68">
        <f>C138*C140</f>
        <v>148473.64800000004</v>
      </c>
      <c r="D141" s="69"/>
    </row>
    <row r="142" spans="2:4 16384:16384" s="1" customFormat="1" ht="6.95"/>
    <row r="143" spans="2:4 16384:16384" s="1" customFormat="1" ht="16.5" customHeight="1">
      <c r="B143" s="20" t="s">
        <v>111</v>
      </c>
      <c r="C143" s="70">
        <v>10000000</v>
      </c>
      <c r="D143" s="63"/>
    </row>
    <row r="144" spans="2:4 16384:16384">
      <c r="B144" s="20" t="s">
        <v>112</v>
      </c>
      <c r="C144" s="66">
        <v>0.05</v>
      </c>
      <c r="D144" s="67"/>
    </row>
    <row r="145" spans="2:6">
      <c r="B145" s="20" t="s">
        <v>27</v>
      </c>
      <c r="C145" s="85">
        <v>4000000</v>
      </c>
      <c r="D145" s="67"/>
    </row>
    <row r="146" spans="2:6" s="1" customFormat="1" ht="6.95"/>
    <row r="147" spans="2:6">
      <c r="B147" s="20" t="s">
        <v>113</v>
      </c>
      <c r="C147" s="70">
        <v>200</v>
      </c>
      <c r="D147" s="71"/>
      <c r="E147" s="72"/>
    </row>
    <row r="148" spans="2:6">
      <c r="B148" s="20" t="s">
        <v>114</v>
      </c>
      <c r="C148" s="66">
        <v>0.2</v>
      </c>
      <c r="D148" s="67"/>
    </row>
    <row r="149" spans="2:6">
      <c r="B149" s="20" t="s">
        <v>115</v>
      </c>
      <c r="C149" s="70">
        <v>200</v>
      </c>
      <c r="D149" s="67"/>
    </row>
    <row r="150" spans="2:6">
      <c r="B150" s="20" t="s">
        <v>116</v>
      </c>
      <c r="C150" s="66">
        <v>0.2</v>
      </c>
      <c r="D150" s="67"/>
    </row>
    <row r="151" spans="2:6">
      <c r="B151" s="20" t="s">
        <v>117</v>
      </c>
      <c r="C151" s="70">
        <v>200</v>
      </c>
      <c r="D151" s="67"/>
    </row>
    <row r="152" spans="2:6">
      <c r="B152" s="20" t="s">
        <v>118</v>
      </c>
      <c r="C152" s="66">
        <v>0.2</v>
      </c>
      <c r="D152" s="67"/>
    </row>
    <row r="153" spans="2:6">
      <c r="B153" s="20" t="s">
        <v>119</v>
      </c>
      <c r="C153" s="73">
        <v>2</v>
      </c>
      <c r="D153" s="67"/>
    </row>
    <row r="154" spans="2:6">
      <c r="B154" s="20" t="s">
        <v>120</v>
      </c>
      <c r="C154" s="73">
        <v>2</v>
      </c>
      <c r="D154" s="74"/>
    </row>
    <row r="155" spans="2:6">
      <c r="B155" s="20" t="s">
        <v>121</v>
      </c>
      <c r="C155" s="75">
        <f>C153+C154</f>
        <v>4</v>
      </c>
      <c r="D155" s="74"/>
    </row>
    <row r="156" spans="2:6" s="1" customFormat="1" ht="6.95"/>
    <row r="157" spans="2:6" s="1" customFormat="1" ht="15" customHeight="1">
      <c r="B157" s="20" t="s">
        <v>122</v>
      </c>
      <c r="C157" s="76">
        <v>100</v>
      </c>
    </row>
    <row r="158" spans="2:6" s="1" customFormat="1" ht="15" customHeight="1">
      <c r="B158" s="20" t="s">
        <v>123</v>
      </c>
      <c r="C158" s="76">
        <v>30</v>
      </c>
    </row>
    <row r="159" spans="2:6">
      <c r="B159" s="20" t="s">
        <v>124</v>
      </c>
      <c r="C159" s="76">
        <v>80</v>
      </c>
      <c r="D159" s="77"/>
      <c r="F159" s="87"/>
    </row>
    <row r="160" spans="2:6">
      <c r="B160" s="20" t="s">
        <v>125</v>
      </c>
      <c r="C160" s="76">
        <v>30</v>
      </c>
      <c r="D160" s="77"/>
    </row>
    <row r="161" spans="2:4" s="1" customFormat="1" ht="6.95"/>
    <row r="162" spans="2:4">
      <c r="B162" s="20" t="s">
        <v>126</v>
      </c>
      <c r="C162" s="76">
        <v>60</v>
      </c>
      <c r="D162" s="77"/>
    </row>
    <row r="163" spans="2:4">
      <c r="B163" s="20" t="s">
        <v>127</v>
      </c>
      <c r="C163" s="83">
        <v>0.04</v>
      </c>
      <c r="D163" s="77"/>
    </row>
    <row r="164" spans="2:4">
      <c r="B164" s="20" t="s">
        <v>128</v>
      </c>
      <c r="C164" s="92">
        <f>C162*C163</f>
        <v>2.4</v>
      </c>
      <c r="D164" s="77"/>
    </row>
    <row r="165" spans="2:4">
      <c r="B165" s="20" t="s">
        <v>129</v>
      </c>
      <c r="C165" s="92">
        <f>C162+C164</f>
        <v>62.4</v>
      </c>
      <c r="D165" s="77"/>
    </row>
    <row r="166" spans="2:4">
      <c r="B166" s="20" t="s">
        <v>130</v>
      </c>
      <c r="C166" s="66">
        <f>$C$185</f>
        <v>2.5000000000000001E-2</v>
      </c>
      <c r="D166" s="67"/>
    </row>
    <row r="167" spans="2:4" ht="6" customHeight="1">
      <c r="C167" s="67"/>
      <c r="D167" s="67"/>
    </row>
    <row r="168" spans="2:4">
      <c r="B168" s="20" t="s">
        <v>131</v>
      </c>
      <c r="C168" s="76">
        <v>50</v>
      </c>
      <c r="D168" s="67"/>
    </row>
    <row r="169" spans="2:4">
      <c r="B169" s="20" t="s">
        <v>130</v>
      </c>
      <c r="C169" s="66">
        <f>$C$185</f>
        <v>2.5000000000000001E-2</v>
      </c>
      <c r="D169" s="67"/>
    </row>
    <row r="170" spans="2:4" ht="6" customHeight="1">
      <c r="C170" s="67"/>
      <c r="D170" s="67"/>
    </row>
    <row r="171" spans="2:4">
      <c r="B171" s="20" t="s">
        <v>132</v>
      </c>
      <c r="C171" s="76">
        <v>40</v>
      </c>
      <c r="D171" s="67"/>
    </row>
    <row r="172" spans="2:4">
      <c r="B172" s="20" t="s">
        <v>130</v>
      </c>
      <c r="C172" s="66">
        <f>$C$185</f>
        <v>2.5000000000000001E-2</v>
      </c>
      <c r="D172" s="67"/>
    </row>
    <row r="173" spans="2:4" ht="5.0999999999999996" customHeight="1">
      <c r="C173" s="67"/>
      <c r="D173" s="67"/>
    </row>
    <row r="174" spans="2:4">
      <c r="B174" s="20" t="s">
        <v>183</v>
      </c>
      <c r="C174" s="76">
        <v>30</v>
      </c>
      <c r="D174" s="67"/>
    </row>
    <row r="175" spans="2:4">
      <c r="B175" s="20" t="s">
        <v>130</v>
      </c>
      <c r="C175" s="66">
        <f>$C$185</f>
        <v>2.5000000000000001E-2</v>
      </c>
      <c r="D175" s="67"/>
    </row>
    <row r="176" spans="2:4" s="1" customFormat="1" ht="6.95"/>
    <row r="177" spans="2:4 16384:16384">
      <c r="B177" s="20" t="s">
        <v>133</v>
      </c>
      <c r="C177" s="73">
        <v>4</v>
      </c>
      <c r="D177" s="74"/>
    </row>
    <row r="178" spans="2:4 16384:16384">
      <c r="B178" s="20" t="s">
        <v>134</v>
      </c>
      <c r="C178" s="66">
        <v>0.5</v>
      </c>
      <c r="D178" s="67"/>
    </row>
    <row r="179" spans="2:4 16384:16384">
      <c r="B179" s="20" t="s">
        <v>135</v>
      </c>
      <c r="C179" s="66">
        <v>0.7</v>
      </c>
      <c r="D179" s="67"/>
    </row>
    <row r="180" spans="2:4 16384:16384">
      <c r="B180" s="20" t="s">
        <v>136</v>
      </c>
      <c r="C180" s="66">
        <v>0.7</v>
      </c>
      <c r="D180" s="67"/>
    </row>
    <row r="181" spans="2:4 16384:16384">
      <c r="B181" s="20" t="s">
        <v>137</v>
      </c>
      <c r="C181" s="66">
        <v>0.5</v>
      </c>
      <c r="D181" s="67"/>
    </row>
    <row r="182" spans="2:4 16384:16384">
      <c r="B182" s="20" t="s">
        <v>138</v>
      </c>
      <c r="C182" s="73">
        <v>5</v>
      </c>
      <c r="D182" s="78"/>
    </row>
    <row r="183" spans="2:4 16384:16384">
      <c r="B183" s="20" t="s">
        <v>139</v>
      </c>
      <c r="C183" s="66">
        <v>0.95</v>
      </c>
      <c r="D183" s="67"/>
    </row>
    <row r="184" spans="2:4 16384:16384" s="1" customFormat="1" ht="6.95"/>
    <row r="185" spans="2:4 16384:16384">
      <c r="B185" s="20" t="s">
        <v>140</v>
      </c>
      <c r="C185" s="66">
        <v>2.5000000000000001E-2</v>
      </c>
      <c r="D185" s="67"/>
    </row>
    <row r="186" spans="2:4 16384:16384" ht="6.95" customHeight="1">
      <c r="C186" s="67"/>
      <c r="D186" s="67"/>
    </row>
    <row r="187" spans="2:4 16384:16384">
      <c r="B187" s="20" t="s">
        <v>141</v>
      </c>
      <c r="C187" s="76">
        <v>10</v>
      </c>
      <c r="D187" s="77"/>
      <c r="XFD187" s="20">
        <f>SUM(A187:XFC187)</f>
        <v>10</v>
      </c>
    </row>
    <row r="188" spans="2:4 16384:16384">
      <c r="B188" s="20" t="s">
        <v>142</v>
      </c>
      <c r="C188" s="76">
        <v>13</v>
      </c>
      <c r="D188" s="77"/>
    </row>
    <row r="189" spans="2:4 16384:16384">
      <c r="B189" s="20" t="s">
        <v>143</v>
      </c>
      <c r="C189" s="76">
        <v>5</v>
      </c>
      <c r="D189" s="77"/>
    </row>
    <row r="190" spans="2:4 16384:16384">
      <c r="B190" s="20" t="s">
        <v>144</v>
      </c>
      <c r="C190" s="76">
        <v>8</v>
      </c>
      <c r="D190" s="77"/>
    </row>
    <row r="191" spans="2:4 16384:16384">
      <c r="B191" s="20" t="s">
        <v>145</v>
      </c>
      <c r="C191" s="76">
        <v>0</v>
      </c>
      <c r="D191" s="77"/>
    </row>
    <row r="192" spans="2:4 16384:16384">
      <c r="B192" s="20" t="s">
        <v>146</v>
      </c>
      <c r="C192" s="76">
        <v>0</v>
      </c>
      <c r="D192" s="77"/>
    </row>
    <row r="193" spans="2:4 16384:16384" s="1" customFormat="1" ht="6.95"/>
    <row r="194" spans="2:4 16384:16384">
      <c r="B194" s="20" t="s">
        <v>147</v>
      </c>
      <c r="C194" s="73">
        <v>8</v>
      </c>
      <c r="D194" s="79"/>
      <c r="XFD194" s="20">
        <f>SUM(A194:XFC194)</f>
        <v>8</v>
      </c>
    </row>
    <row r="195" spans="2:4 16384:16384">
      <c r="B195" s="20" t="s">
        <v>148</v>
      </c>
      <c r="C195" s="66">
        <v>0.06</v>
      </c>
      <c r="D195" s="67"/>
    </row>
    <row r="196" spans="2:4 16384:16384">
      <c r="B196" s="20" t="s">
        <v>149</v>
      </c>
      <c r="C196" s="66">
        <v>0.05</v>
      </c>
      <c r="D196" s="67"/>
    </row>
    <row r="197" spans="2:4 16384:16384" s="1" customFormat="1" ht="6.95"/>
    <row r="198" spans="2:4 16384:16384">
      <c r="B198" s="20" t="s">
        <v>150</v>
      </c>
      <c r="C198" s="66">
        <v>0.2</v>
      </c>
      <c r="D198" s="67"/>
    </row>
    <row r="199" spans="2:4 16384:16384" s="1" customFormat="1" ht="6.95">
      <c r="B199" s="43"/>
      <c r="C199" s="43"/>
    </row>
    <row r="201" spans="2:4 16384:16384">
      <c r="B201" s="22" t="s">
        <v>151</v>
      </c>
    </row>
    <row r="202" spans="2:4 16384:16384">
      <c r="B202" s="5" t="s">
        <v>21</v>
      </c>
      <c r="C202" s="23" t="s">
        <v>83</v>
      </c>
    </row>
    <row r="203" spans="2:4 16384:16384">
      <c r="B203" s="20" t="s">
        <v>152</v>
      </c>
      <c r="C203" s="77"/>
    </row>
    <row r="204" spans="2:4 16384:16384">
      <c r="B204" s="20" t="s">
        <v>153</v>
      </c>
      <c r="C204" s="90">
        <f>C134</f>
        <v>401</v>
      </c>
    </row>
    <row r="205" spans="2:4 16384:16384">
      <c r="B205" s="20" t="s">
        <v>154</v>
      </c>
      <c r="C205" s="90">
        <f>ROUNDUP(C128/1000*2.5,0)</f>
        <v>459</v>
      </c>
    </row>
    <row r="206" spans="2:4 16384:16384">
      <c r="B206" s="20" t="s">
        <v>155</v>
      </c>
      <c r="C206" s="90">
        <f>ROUNDUP(C129/1000*2.5,0)</f>
        <v>459</v>
      </c>
    </row>
    <row r="207" spans="2:4 16384:16384" ht="15.95" customHeight="1">
      <c r="B207" s="20" t="s">
        <v>22</v>
      </c>
      <c r="C207" s="93">
        <f>SUM(C204:C206)</f>
        <v>1319</v>
      </c>
    </row>
    <row r="208" spans="2:4 16384:16384" ht="15.95" customHeight="1">
      <c r="C208" s="77"/>
    </row>
    <row r="209" spans="2:3" ht="15.95" customHeight="1">
      <c r="B209" s="20" t="s">
        <v>156</v>
      </c>
      <c r="C209" s="66">
        <v>0.6</v>
      </c>
    </row>
    <row r="210" spans="2:3" ht="15.95" customHeight="1">
      <c r="B210" s="20" t="s">
        <v>157</v>
      </c>
      <c r="C210" s="93">
        <f>ROUNDUP($C$207*C209,0)</f>
        <v>792</v>
      </c>
    </row>
    <row r="211" spans="2:3" ht="15.95" customHeight="1">
      <c r="B211" s="20" t="s">
        <v>158</v>
      </c>
      <c r="C211" s="64">
        <v>350</v>
      </c>
    </row>
    <row r="212" spans="2:3" ht="15.95" customHeight="1">
      <c r="B212" s="20" t="s">
        <v>159</v>
      </c>
      <c r="C212" s="94">
        <f>C210*C211</f>
        <v>277200</v>
      </c>
    </row>
    <row r="213" spans="2:3" ht="15.95" customHeight="1">
      <c r="B213" s="20" t="s">
        <v>160</v>
      </c>
      <c r="C213" s="66">
        <v>0.4</v>
      </c>
    </row>
    <row r="214" spans="2:3" ht="15.95" customHeight="1">
      <c r="B214" s="20" t="s">
        <v>161</v>
      </c>
      <c r="C214" s="93">
        <f>ROUNDUP($C$207*C213,0)</f>
        <v>528</v>
      </c>
    </row>
    <row r="215" spans="2:3" ht="15.95" customHeight="1">
      <c r="B215" s="20" t="s">
        <v>158</v>
      </c>
      <c r="C215" s="64">
        <v>350</v>
      </c>
    </row>
    <row r="216" spans="2:3" ht="15.95" customHeight="1">
      <c r="B216" s="20" t="s">
        <v>162</v>
      </c>
      <c r="C216" s="94">
        <f>C214*C215</f>
        <v>184800</v>
      </c>
    </row>
    <row r="217" spans="2:3" ht="15.95" customHeight="1">
      <c r="C217" s="77"/>
    </row>
    <row r="218" spans="2:3" s="1" customFormat="1" ht="15.95" customHeight="1">
      <c r="B218" s="26" t="s">
        <v>163</v>
      </c>
      <c r="C218" s="77"/>
    </row>
    <row r="219" spans="2:3" s="1" customFormat="1" ht="15" customHeight="1">
      <c r="B219" s="20" t="s">
        <v>164</v>
      </c>
      <c r="C219" s="76">
        <v>50000</v>
      </c>
    </row>
    <row r="220" spans="2:3" s="1" customFormat="1" ht="15" customHeight="1">
      <c r="B220" s="20" t="s">
        <v>165</v>
      </c>
      <c r="C220" s="76">
        <v>25000</v>
      </c>
    </row>
    <row r="221" spans="2:3">
      <c r="B221" s="20" t="s">
        <v>36</v>
      </c>
      <c r="C221" s="66">
        <v>0.2</v>
      </c>
    </row>
    <row r="222" spans="2:3" ht="6.95" customHeight="1">
      <c r="C222" s="67"/>
    </row>
    <row r="223" spans="2:3">
      <c r="B223" s="20" t="s">
        <v>166</v>
      </c>
      <c r="C223" s="85">
        <v>125</v>
      </c>
    </row>
    <row r="224" spans="2:3">
      <c r="B224" s="20" t="s">
        <v>167</v>
      </c>
      <c r="C224" s="83">
        <v>0.95</v>
      </c>
    </row>
    <row r="226" spans="1:4 16384:16384">
      <c r="B226" s="22" t="s">
        <v>168</v>
      </c>
    </row>
    <row r="227" spans="1:4 16384:16384">
      <c r="A227" s="1"/>
      <c r="B227" s="5" t="s">
        <v>21</v>
      </c>
      <c r="C227" s="23" t="s">
        <v>83</v>
      </c>
      <c r="D227" s="55"/>
    </row>
    <row r="228" spans="1:4 16384:16384" s="1" customFormat="1" ht="6.95">
      <c r="B228" s="63"/>
      <c r="C228" s="80"/>
      <c r="D228" s="80"/>
    </row>
    <row r="229" spans="1:4 16384:16384">
      <c r="B229" s="25" t="s">
        <v>59</v>
      </c>
    </row>
    <row r="230" spans="1:4 16384:16384">
      <c r="B230" s="26" t="s">
        <v>169</v>
      </c>
      <c r="C230" s="66">
        <v>0.65</v>
      </c>
      <c r="XFD230" s="20">
        <f>SUM(A230:XFC230)</f>
        <v>0.65</v>
      </c>
    </row>
    <row r="231" spans="1:4 16384:16384">
      <c r="B231" s="26" t="s">
        <v>170</v>
      </c>
      <c r="C231" s="66">
        <v>6.25E-2</v>
      </c>
    </row>
    <row r="232" spans="1:4 16384:16384">
      <c r="B232" s="26" t="s">
        <v>171</v>
      </c>
      <c r="C232" s="28">
        <f>-(C26+C27)</f>
        <v>23760000</v>
      </c>
    </row>
    <row r="233" spans="1:4 16384:16384">
      <c r="B233" s="26" t="s">
        <v>172</v>
      </c>
      <c r="C233" s="28">
        <f>C230*C232</f>
        <v>15444000</v>
      </c>
    </row>
    <row r="234" spans="1:4 16384:16384">
      <c r="B234" s="26" t="s">
        <v>173</v>
      </c>
      <c r="C234" s="66">
        <v>1.4999999999999999E-2</v>
      </c>
    </row>
    <row r="235" spans="1:4 16384:16384" s="1" customFormat="1" ht="6.95">
      <c r="C235" s="81"/>
    </row>
    <row r="236" spans="1:4 16384:16384">
      <c r="B236" s="25" t="s">
        <v>66</v>
      </c>
    </row>
    <row r="237" spans="1:4 16384:16384">
      <c r="B237" s="26" t="s">
        <v>174</v>
      </c>
      <c r="C237" s="66">
        <v>0.75</v>
      </c>
    </row>
    <row r="238" spans="1:4 16384:16384">
      <c r="B238" s="26" t="s">
        <v>175</v>
      </c>
      <c r="C238" s="82">
        <v>1.2</v>
      </c>
    </row>
    <row r="239" spans="1:4 16384:16384">
      <c r="B239" s="26" t="s">
        <v>176</v>
      </c>
      <c r="C239" s="73">
        <v>30</v>
      </c>
    </row>
    <row r="240" spans="1:4 16384:16384">
      <c r="B240" s="26" t="s">
        <v>177</v>
      </c>
      <c r="C240" s="73">
        <v>10</v>
      </c>
    </row>
    <row r="241" spans="2:3">
      <c r="B241" s="26" t="s">
        <v>178</v>
      </c>
      <c r="C241" s="66">
        <v>5.2499999999999998E-2</v>
      </c>
    </row>
    <row r="242" spans="2:3">
      <c r="B242" s="26" t="s">
        <v>47</v>
      </c>
      <c r="C242" s="28">
        <f>C55</f>
        <v>35136490.245598204</v>
      </c>
    </row>
    <row r="243" spans="2:3">
      <c r="B243" s="26" t="s">
        <v>179</v>
      </c>
      <c r="C243" s="66">
        <v>1.4999999999999999E-2</v>
      </c>
    </row>
    <row r="244" spans="2:3" s="1" customFormat="1" ht="6.95"/>
    <row r="245" spans="2:3">
      <c r="B245" s="20" t="s">
        <v>180</v>
      </c>
      <c r="C245" s="54">
        <f>C55/C195*C237</f>
        <v>439206128.06997752</v>
      </c>
    </row>
    <row r="246" spans="2:3">
      <c r="B246" s="20" t="s">
        <v>181</v>
      </c>
      <c r="C246" s="54">
        <f>-PV(C241,C239,C55/C238,0,0)</f>
        <v>437563513.39523554</v>
      </c>
    </row>
    <row r="247" spans="2:3">
      <c r="B247" s="20" t="s">
        <v>182</v>
      </c>
      <c r="C247" s="54">
        <f>MIN(C245:C246)</f>
        <v>437563513.39523554</v>
      </c>
    </row>
    <row r="248" spans="2:3" s="1" customFormat="1" ht="66.95" customHeight="1">
      <c r="B248" s="43"/>
      <c r="C248" s="43"/>
    </row>
    <row r="257" s="20" customFormat="1"/>
    <row r="258" s="20" customFormat="1"/>
    <row r="259" s="20" customFormat="1"/>
    <row r="260" s="20" customFormat="1"/>
    <row r="261" s="20" customFormat="1"/>
    <row r="262" s="20" customFormat="1"/>
  </sheetData>
  <pageMargins left="0.25" right="0.25" top="0.75" bottom="0.75" header="0.3" footer="0.3"/>
  <pageSetup paperSize="5" scale="43" fitToHeight="0" orientation="portrait" r:id="rId1"/>
  <headerFooter>
    <oddHeader>Page &amp;P of &amp;N</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5389A-53E8-AF41-9099-FB8FACAF6483}">
  <dimension ref="A1"/>
  <sheetViews>
    <sheetView topLeftCell="A11" workbookViewId="0"/>
  </sheetViews>
  <sheetFormatPr defaultColWidth="11.42578125"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ColWidth="8.85546875" defaultRowHeight="15" customHeight="1"/>
  <cols>
    <col min="1" max="12" width="9.14062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Ignacio Montojo</dc:creator>
  <cp:keywords/>
  <dc:description/>
  <cp:lastModifiedBy/>
  <cp:revision/>
  <dcterms:created xsi:type="dcterms:W3CDTF">2016-11-04T15:51:40Z</dcterms:created>
  <dcterms:modified xsi:type="dcterms:W3CDTF">2024-02-13T19:55:04Z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2a68a97b8ba64dbe8f02f277703acbc4</vt:lpwstr>
  </property>
</Properties>
</file>